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tcomlk-my.sharepoint.com/personal/015897_intranet_slt_com_lk/Documents/Documents/NW Eng KPI Improvement/KPI 2026/"/>
    </mc:Choice>
  </mc:AlternateContent>
  <xr:revisionPtr revIDLastSave="0" documentId="8_{0F0CD725-82B5-4FCF-B789-AC6BF8BC57DC}" xr6:coauthVersionLast="47" xr6:coauthVersionMax="47" xr10:uidLastSave="{00000000-0000-0000-0000-000000000000}"/>
  <bookViews>
    <workbookView xWindow="-120" yWindow="-120" windowWidth="20730" windowHeight="11040" xr2:uid="{71964CE1-C6D4-4375-8411-FC98F6D5E7DC}"/>
  </bookViews>
  <sheets>
    <sheet name="KPI Calculation" sheetId="1" r:id="rId1"/>
    <sheet name="Service Assurance Faults" sheetId="9" r:id="rId2"/>
    <sheet name="OTN Operations" sheetId="2" r:id="rId3"/>
    <sheet name="Tower Maintenance" sheetId="6" r:id="rId4"/>
    <sheet name="IP NW Operations" sheetId="3" r:id="rId5"/>
    <sheet name="Wireline Access NW Op" sheetId="7" r:id="rId6"/>
    <sheet name="Service Fulfillment" sheetId="4" r:id="rId7"/>
    <sheet name="Routine Maintenance" sheetId="5" r:id="rId8"/>
    <sheet name="KPI Comparison" sheetId="8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3" i="1" l="1"/>
  <c r="BN13" i="1"/>
  <c r="BP13" i="1" s="1"/>
  <c r="BL13" i="1"/>
  <c r="BK13" i="1"/>
  <c r="BI13" i="1"/>
  <c r="BH13" i="1"/>
  <c r="BJ13" i="1" s="1"/>
  <c r="BF13" i="1"/>
  <c r="BE13" i="1"/>
  <c r="BG13" i="1" s="1"/>
  <c r="BC13" i="1"/>
  <c r="BB13" i="1"/>
  <c r="BD13" i="1" s="1"/>
  <c r="AZ13" i="1"/>
  <c r="AY13" i="1"/>
  <c r="BA13" i="1" s="1"/>
  <c r="AW13" i="1"/>
  <c r="AV13" i="1"/>
  <c r="AX13" i="1" s="1"/>
  <c r="AT13" i="1"/>
  <c r="AS13" i="1"/>
  <c r="AU13" i="1" s="1"/>
  <c r="AQ13" i="1"/>
  <c r="AP13" i="1"/>
  <c r="AR13" i="1" s="1"/>
  <c r="AN13" i="1"/>
  <c r="AO13" i="1" s="1"/>
  <c r="AM13" i="1"/>
  <c r="AK13" i="1"/>
  <c r="AJ13" i="1"/>
  <c r="AL13" i="1" s="1"/>
  <c r="AH13" i="1"/>
  <c r="AG13" i="1"/>
  <c r="AE13" i="1"/>
  <c r="AD13" i="1"/>
  <c r="AF13" i="1" s="1"/>
  <c r="AB13" i="1"/>
  <c r="AA13" i="1"/>
  <c r="Y13" i="1"/>
  <c r="X13" i="1"/>
  <c r="Z13" i="1" s="1"/>
  <c r="V13" i="1"/>
  <c r="U13" i="1"/>
  <c r="S13" i="1"/>
  <c r="R13" i="1"/>
  <c r="T13" i="1" s="1"/>
  <c r="P13" i="1"/>
  <c r="O13" i="1"/>
  <c r="M13" i="1"/>
  <c r="L13" i="1"/>
  <c r="J13" i="1"/>
  <c r="I13" i="1"/>
  <c r="BO17" i="1"/>
  <c r="BO16" i="1"/>
  <c r="BO15" i="1"/>
  <c r="BL17" i="1"/>
  <c r="BL16" i="1"/>
  <c r="BL15" i="1"/>
  <c r="BI15" i="1"/>
  <c r="BI17" i="1"/>
  <c r="BI16" i="1"/>
  <c r="BF17" i="1"/>
  <c r="BF16" i="1"/>
  <c r="BF15" i="1"/>
  <c r="BC17" i="1"/>
  <c r="BC16" i="1"/>
  <c r="BC15" i="1"/>
  <c r="AZ17" i="1"/>
  <c r="AZ16" i="1"/>
  <c r="AZ15" i="1"/>
  <c r="AW17" i="1"/>
  <c r="AW16" i="1"/>
  <c r="AW15" i="1"/>
  <c r="AT17" i="1"/>
  <c r="AT16" i="1"/>
  <c r="AT15" i="1"/>
  <c r="AQ17" i="1"/>
  <c r="AQ16" i="1"/>
  <c r="AQ15" i="1"/>
  <c r="AN17" i="1"/>
  <c r="AN16" i="1"/>
  <c r="AN15" i="1"/>
  <c r="AK17" i="1"/>
  <c r="AK16" i="1"/>
  <c r="AK15" i="1"/>
  <c r="AH17" i="1"/>
  <c r="AH16" i="1"/>
  <c r="AH15" i="1"/>
  <c r="AE17" i="1"/>
  <c r="AE16" i="1"/>
  <c r="AE15" i="1"/>
  <c r="AB17" i="1"/>
  <c r="AB16" i="1"/>
  <c r="AB15" i="1"/>
  <c r="Y17" i="1"/>
  <c r="Y16" i="1"/>
  <c r="Y15" i="1"/>
  <c r="V17" i="1"/>
  <c r="V16" i="1"/>
  <c r="V15" i="1"/>
  <c r="S17" i="1"/>
  <c r="S16" i="1"/>
  <c r="S15" i="1"/>
  <c r="P17" i="1"/>
  <c r="P16" i="1"/>
  <c r="P15" i="1"/>
  <c r="M17" i="1"/>
  <c r="M16" i="1"/>
  <c r="M15" i="1"/>
  <c r="J17" i="1"/>
  <c r="J16" i="1"/>
  <c r="J15" i="1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12" i="5"/>
  <c r="H11" i="9"/>
  <c r="H8" i="9"/>
  <c r="H7" i="9"/>
  <c r="H9" i="9"/>
  <c r="H10" i="9"/>
  <c r="H6" i="9"/>
  <c r="M12" i="9"/>
  <c r="J12" i="9"/>
  <c r="G12" i="9"/>
  <c r="P12" i="9"/>
  <c r="N12" i="9"/>
  <c r="BK23" i="9"/>
  <c r="BH23" i="9"/>
  <c r="BE23" i="9"/>
  <c r="BB23" i="9"/>
  <c r="AY23" i="9"/>
  <c r="AV23" i="9"/>
  <c r="AS23" i="9"/>
  <c r="AP23" i="9"/>
  <c r="AM23" i="9"/>
  <c r="AJ23" i="9"/>
  <c r="AG23" i="9"/>
  <c r="AD23" i="9"/>
  <c r="AA23" i="9"/>
  <c r="X23" i="9"/>
  <c r="U23" i="9"/>
  <c r="R23" i="9"/>
  <c r="O23" i="9"/>
  <c r="L23" i="9"/>
  <c r="I23" i="9"/>
  <c r="F23" i="9"/>
  <c r="AY27" i="1"/>
  <c r="AV27" i="1"/>
  <c r="AP27" i="1"/>
  <c r="AD27" i="1"/>
  <c r="X27" i="1"/>
  <c r="O27" i="1"/>
  <c r="I27" i="1"/>
  <c r="L18" i="4"/>
  <c r="L27" i="1" s="1"/>
  <c r="M18" i="4"/>
  <c r="AA27" i="1" s="1"/>
  <c r="N18" i="4"/>
  <c r="R27" i="1" s="1"/>
  <c r="O18" i="4"/>
  <c r="U27" i="1" s="1"/>
  <c r="P18" i="4"/>
  <c r="Q18" i="4"/>
  <c r="R18" i="4"/>
  <c r="S18" i="4"/>
  <c r="AG27" i="1" s="1"/>
  <c r="T18" i="4"/>
  <c r="AJ27" i="1" s="1"/>
  <c r="U18" i="4"/>
  <c r="AM27" i="1" s="1"/>
  <c r="V18" i="4"/>
  <c r="BN27" i="1" s="1"/>
  <c r="W18" i="4"/>
  <c r="X18" i="4"/>
  <c r="AS27" i="1" s="1"/>
  <c r="Y18" i="4"/>
  <c r="Z18" i="4"/>
  <c r="AA18" i="4"/>
  <c r="BB27" i="1" s="1"/>
  <c r="AB18" i="4"/>
  <c r="BE27" i="1" s="1"/>
  <c r="AC18" i="4"/>
  <c r="BH27" i="1" s="1"/>
  <c r="AD18" i="4"/>
  <c r="BK27" i="1" s="1"/>
  <c r="BM27" i="1" s="1"/>
  <c r="K18" i="4"/>
  <c r="BO27" i="1"/>
  <c r="BL27" i="1"/>
  <c r="BI27" i="1"/>
  <c r="BF27" i="1"/>
  <c r="BC27" i="1"/>
  <c r="AZ27" i="1"/>
  <c r="AW27" i="1"/>
  <c r="AX27" i="1" s="1"/>
  <c r="AT27" i="1"/>
  <c r="AQ27" i="1"/>
  <c r="AN27" i="1"/>
  <c r="AK27" i="1"/>
  <c r="AH27" i="1"/>
  <c r="AE27" i="1"/>
  <c r="AB27" i="1"/>
  <c r="Y27" i="1"/>
  <c r="Z27" i="1" s="1"/>
  <c r="V27" i="1"/>
  <c r="S27" i="1"/>
  <c r="P27" i="1"/>
  <c r="M27" i="1"/>
  <c r="J27" i="1"/>
  <c r="BO7" i="1"/>
  <c r="BL7" i="1"/>
  <c r="BI7" i="1"/>
  <c r="BF7" i="1"/>
  <c r="BC7" i="1"/>
  <c r="AZ7" i="1"/>
  <c r="AW7" i="1"/>
  <c r="AT7" i="1"/>
  <c r="AQ7" i="1"/>
  <c r="AK7" i="1"/>
  <c r="AH7" i="1"/>
  <c r="AE7" i="1"/>
  <c r="AB7" i="1"/>
  <c r="Y7" i="1"/>
  <c r="V7" i="1"/>
  <c r="S7" i="1"/>
  <c r="P7" i="1"/>
  <c r="M7" i="1"/>
  <c r="J7" i="1"/>
  <c r="BO6" i="1"/>
  <c r="BL6" i="1"/>
  <c r="BI6" i="1"/>
  <c r="BF6" i="1"/>
  <c r="BC6" i="1"/>
  <c r="AZ6" i="1"/>
  <c r="AW6" i="1"/>
  <c r="AX6" i="1" s="1"/>
  <c r="AT6" i="1"/>
  <c r="AQ6" i="1"/>
  <c r="AN6" i="1"/>
  <c r="AK6" i="1"/>
  <c r="AH6" i="1"/>
  <c r="AE6" i="1"/>
  <c r="AB6" i="1"/>
  <c r="Y6" i="1"/>
  <c r="V6" i="1"/>
  <c r="S6" i="1"/>
  <c r="P6" i="1"/>
  <c r="M6" i="1"/>
  <c r="J6" i="1"/>
  <c r="H31" i="1"/>
  <c r="G13" i="1" s="1"/>
  <c r="G23" i="1" l="1"/>
  <c r="AO27" i="1"/>
  <c r="BG27" i="1"/>
  <c r="AC13" i="1"/>
  <c r="Q27" i="1"/>
  <c r="BM13" i="1"/>
  <c r="W13" i="1"/>
  <c r="AI13" i="1"/>
  <c r="AR27" i="1"/>
  <c r="K13" i="1"/>
  <c r="AI27" i="1"/>
  <c r="N13" i="1"/>
  <c r="BA27" i="1"/>
  <c r="Q13" i="1"/>
  <c r="BD27" i="1"/>
  <c r="AF27" i="1"/>
  <c r="K27" i="1"/>
  <c r="AC27" i="1"/>
  <c r="N27" i="1"/>
  <c r="AL27" i="1"/>
  <c r="BJ27" i="1"/>
  <c r="T27" i="1"/>
  <c r="BP27" i="1"/>
  <c r="W27" i="1"/>
  <c r="AU27" i="1"/>
  <c r="G11" i="1"/>
  <c r="G26" i="1"/>
  <c r="G18" i="1"/>
  <c r="G10" i="1"/>
  <c r="G25" i="1"/>
  <c r="G12" i="1"/>
  <c r="G27" i="1"/>
  <c r="G17" i="1"/>
  <c r="G24" i="1"/>
  <c r="G16" i="1"/>
  <c r="G8" i="1"/>
  <c r="G22" i="1"/>
  <c r="G15" i="1"/>
  <c r="G7" i="1"/>
  <c r="G9" i="1"/>
  <c r="G14" i="1"/>
  <c r="G19" i="1"/>
  <c r="G21" i="1"/>
  <c r="G20" i="1"/>
  <c r="N13" i="9"/>
  <c r="H12" i="9"/>
  <c r="H13" i="9" s="1"/>
  <c r="K12" i="9"/>
  <c r="K13" i="9" s="1"/>
  <c r="Y12" i="9"/>
  <c r="Z12" i="9"/>
  <c r="AX12" i="9"/>
  <c r="AH12" i="9"/>
  <c r="S12" i="9"/>
  <c r="AN12" i="9"/>
  <c r="AF12" i="9"/>
  <c r="AR12" i="9"/>
  <c r="V12" i="9"/>
  <c r="Q12" i="9"/>
  <c r="Q13" i="9" s="1"/>
  <c r="T12" i="9"/>
  <c r="W12" i="9"/>
  <c r="BA12" i="9"/>
  <c r="AC12" i="9"/>
  <c r="BI12" i="9"/>
  <c r="AB12" i="9"/>
  <c r="AQ12" i="9"/>
  <c r="BC12" i="9"/>
  <c r="BF12" i="9"/>
  <c r="AZ12" i="9"/>
  <c r="AK12" i="9"/>
  <c r="AW12" i="9"/>
  <c r="BG12" i="9"/>
  <c r="AI12" i="9"/>
  <c r="AE12" i="9"/>
  <c r="AT12" i="9"/>
  <c r="AO12" i="9"/>
  <c r="AL12" i="9"/>
  <c r="AU12" i="9"/>
  <c r="AU13" i="9" s="1"/>
  <c r="BL12" i="9"/>
  <c r="Z13" i="9" l="1"/>
  <c r="AR13" i="9"/>
  <c r="T13" i="9"/>
  <c r="AI13" i="9"/>
  <c r="BG13" i="9"/>
  <c r="AF13" i="9"/>
  <c r="BA13" i="9"/>
  <c r="W13" i="9"/>
  <c r="AO13" i="9"/>
  <c r="BJ12" i="9"/>
  <c r="BJ13" i="9" s="1"/>
  <c r="AC13" i="9"/>
  <c r="BM12" i="9"/>
  <c r="BM13" i="9" s="1"/>
  <c r="AL13" i="9"/>
  <c r="BD12" i="9"/>
  <c r="BD13" i="9" s="1"/>
  <c r="AX13" i="9"/>
  <c r="U18" i="1"/>
  <c r="BL12" i="1"/>
  <c r="AV12" i="1"/>
  <c r="R12" i="1"/>
  <c r="BB12" i="1"/>
  <c r="AY12" i="1"/>
  <c r="AS12" i="1"/>
  <c r="L12" i="1"/>
  <c r="BH6" i="1"/>
  <c r="BJ6" i="1" s="1"/>
  <c r="B21" i="8"/>
  <c r="B18" i="8"/>
  <c r="B17" i="8"/>
  <c r="B12" i="8"/>
  <c r="B11" i="8"/>
  <c r="B10" i="8"/>
  <c r="B3" i="8"/>
  <c r="B2" i="8"/>
  <c r="BO18" i="1"/>
  <c r="BL18" i="1"/>
  <c r="BI18" i="1"/>
  <c r="BF18" i="1"/>
  <c r="BC18" i="1"/>
  <c r="AZ18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J18" i="1"/>
  <c r="D39" i="6"/>
  <c r="BP17" i="1"/>
  <c r="BP16" i="1"/>
  <c r="BP15" i="1"/>
  <c r="BM17" i="1"/>
  <c r="BM16" i="1"/>
  <c r="BM15" i="1"/>
  <c r="BJ17" i="1"/>
  <c r="BJ16" i="1"/>
  <c r="BJ15" i="1"/>
  <c r="BG17" i="1"/>
  <c r="BG16" i="1"/>
  <c r="BG15" i="1"/>
  <c r="BD17" i="1"/>
  <c r="BD16" i="1"/>
  <c r="BD15" i="1"/>
  <c r="BA17" i="1"/>
  <c r="BA16" i="1"/>
  <c r="BA15" i="1"/>
  <c r="AX17" i="1"/>
  <c r="AX16" i="1"/>
  <c r="AX15" i="1"/>
  <c r="AU17" i="1"/>
  <c r="AU16" i="1"/>
  <c r="AU15" i="1"/>
  <c r="AR17" i="1"/>
  <c r="AR16" i="1"/>
  <c r="AR15" i="1"/>
  <c r="AO17" i="1"/>
  <c r="AO16" i="1"/>
  <c r="AO15" i="1"/>
  <c r="AL17" i="1"/>
  <c r="AL16" i="1"/>
  <c r="AL15" i="1"/>
  <c r="AI17" i="1"/>
  <c r="AI16" i="1"/>
  <c r="AI15" i="1"/>
  <c r="AF17" i="1"/>
  <c r="AF16" i="1"/>
  <c r="AF15" i="1"/>
  <c r="AC17" i="1"/>
  <c r="AC16" i="1"/>
  <c r="AC15" i="1"/>
  <c r="Z17" i="1"/>
  <c r="Z16" i="1"/>
  <c r="Z15" i="1"/>
  <c r="W17" i="1"/>
  <c r="W16" i="1"/>
  <c r="W15" i="1"/>
  <c r="T17" i="1"/>
  <c r="T16" i="1"/>
  <c r="T15" i="1"/>
  <c r="Q17" i="1"/>
  <c r="Q16" i="1"/>
  <c r="Q15" i="1"/>
  <c r="N17" i="1"/>
  <c r="N16" i="1"/>
  <c r="N15" i="1"/>
  <c r="K15" i="1"/>
  <c r="K16" i="1"/>
  <c r="K17" i="1"/>
  <c r="BO11" i="1"/>
  <c r="BO10" i="1"/>
  <c r="BO9" i="1"/>
  <c r="BL11" i="1"/>
  <c r="BL10" i="1"/>
  <c r="BL9" i="1"/>
  <c r="BI11" i="1"/>
  <c r="BI10" i="1"/>
  <c r="BI9" i="1"/>
  <c r="BF11" i="1"/>
  <c r="BF10" i="1"/>
  <c r="BF9" i="1"/>
  <c r="BC11" i="1"/>
  <c r="BC10" i="1"/>
  <c r="BC9" i="1"/>
  <c r="AZ11" i="1"/>
  <c r="AZ10" i="1"/>
  <c r="AZ9" i="1"/>
  <c r="AW11" i="1"/>
  <c r="AW10" i="1"/>
  <c r="AW9" i="1"/>
  <c r="AT11" i="1"/>
  <c r="AT10" i="1"/>
  <c r="AT9" i="1"/>
  <c r="AQ11" i="1"/>
  <c r="AQ10" i="1"/>
  <c r="AQ9" i="1"/>
  <c r="AN11" i="1"/>
  <c r="AN10" i="1"/>
  <c r="AN9" i="1"/>
  <c r="AK11" i="1"/>
  <c r="AK10" i="1"/>
  <c r="AK9" i="1"/>
  <c r="AH11" i="1"/>
  <c r="AH10" i="1"/>
  <c r="AH9" i="1"/>
  <c r="AE11" i="1"/>
  <c r="AE10" i="1"/>
  <c r="AE9" i="1"/>
  <c r="AB11" i="1"/>
  <c r="AB10" i="1"/>
  <c r="AB9" i="1"/>
  <c r="Y11" i="1"/>
  <c r="Y10" i="1"/>
  <c r="Y9" i="1"/>
  <c r="V11" i="1"/>
  <c r="V10" i="1"/>
  <c r="V9" i="1"/>
  <c r="S11" i="1"/>
  <c r="S10" i="1"/>
  <c r="S9" i="1"/>
  <c r="P11" i="1"/>
  <c r="P10" i="1"/>
  <c r="P9" i="1"/>
  <c r="M11" i="1"/>
  <c r="M10" i="1"/>
  <c r="M9" i="1"/>
  <c r="J11" i="1"/>
  <c r="J10" i="1"/>
  <c r="J9" i="1"/>
  <c r="BO12" i="1"/>
  <c r="AZ12" i="1"/>
  <c r="AT12" i="1"/>
  <c r="AQ12" i="1"/>
  <c r="AB12" i="1"/>
  <c r="V12" i="1"/>
  <c r="S12" i="1"/>
  <c r="U6" i="1"/>
  <c r="W6" i="1" s="1"/>
  <c r="AA6" i="2"/>
  <c r="AA7" i="2"/>
  <c r="AA8" i="2"/>
  <c r="P8" i="1" s="1"/>
  <c r="AA10" i="2"/>
  <c r="AA11" i="2"/>
  <c r="AA12" i="2"/>
  <c r="AA14" i="2"/>
  <c r="AB8" i="1" s="1"/>
  <c r="AA15" i="2"/>
  <c r="AA17" i="2"/>
  <c r="AA18" i="2"/>
  <c r="BE18" i="1"/>
  <c r="BN12" i="1"/>
  <c r="BK12" i="1"/>
  <c r="BH12" i="1"/>
  <c r="BE12" i="1"/>
  <c r="AP12" i="1"/>
  <c r="AM12" i="1"/>
  <c r="AJ12" i="1"/>
  <c r="AG12" i="1"/>
  <c r="AD12" i="1"/>
  <c r="AA12" i="1"/>
  <c r="X12" i="1"/>
  <c r="O12" i="1"/>
  <c r="I12" i="1"/>
  <c r="BN11" i="1"/>
  <c r="BK11" i="1"/>
  <c r="BH11" i="1"/>
  <c r="BE11" i="1"/>
  <c r="BB11" i="1"/>
  <c r="AY11" i="1"/>
  <c r="AV11" i="1"/>
  <c r="AS11" i="1"/>
  <c r="AP11" i="1"/>
  <c r="AM11" i="1"/>
  <c r="AJ11" i="1"/>
  <c r="AG11" i="1"/>
  <c r="AD11" i="1"/>
  <c r="AA11" i="1"/>
  <c r="X11" i="1"/>
  <c r="U11" i="1"/>
  <c r="R11" i="1"/>
  <c r="O11" i="1"/>
  <c r="L11" i="1"/>
  <c r="I11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BN9" i="1"/>
  <c r="BK9" i="1"/>
  <c r="BH9" i="1"/>
  <c r="BE9" i="1"/>
  <c r="BB9" i="1"/>
  <c r="AY9" i="1"/>
  <c r="AV9" i="1"/>
  <c r="AS9" i="1"/>
  <c r="AP9" i="1"/>
  <c r="AM9" i="1"/>
  <c r="AJ9" i="1"/>
  <c r="AG9" i="1"/>
  <c r="AD9" i="1"/>
  <c r="AA9" i="1"/>
  <c r="X9" i="1"/>
  <c r="U9" i="1"/>
  <c r="R9" i="1"/>
  <c r="O9" i="1"/>
  <c r="L9" i="1"/>
  <c r="I9" i="1"/>
  <c r="BN8" i="1"/>
  <c r="BK8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G39" i="1"/>
  <c r="G6" i="1"/>
  <c r="I39" i="1"/>
  <c r="L39" i="1"/>
  <c r="O39" i="1"/>
  <c r="R39" i="1"/>
  <c r="U39" i="1"/>
  <c r="X39" i="1"/>
  <c r="AA39" i="1"/>
  <c r="AD39" i="1"/>
  <c r="AG39" i="1"/>
  <c r="AJ39" i="1"/>
  <c r="AM39" i="1"/>
  <c r="AP39" i="1"/>
  <c r="AS39" i="1"/>
  <c r="AV39" i="1"/>
  <c r="AY39" i="1"/>
  <c r="BB39" i="1"/>
  <c r="BE39" i="1"/>
  <c r="BH39" i="1"/>
  <c r="BK39" i="1"/>
  <c r="BN39" i="1"/>
  <c r="BN7" i="1"/>
  <c r="BP7" i="1" s="1"/>
  <c r="BK7" i="1"/>
  <c r="BM7" i="1" s="1"/>
  <c r="BH7" i="1"/>
  <c r="BJ7" i="1" s="1"/>
  <c r="BE7" i="1"/>
  <c r="BG7" i="1" s="1"/>
  <c r="BB7" i="1"/>
  <c r="BD7" i="1" s="1"/>
  <c r="AY7" i="1"/>
  <c r="BA7" i="1" s="1"/>
  <c r="AV7" i="1"/>
  <c r="AX7" i="1" s="1"/>
  <c r="AS7" i="1"/>
  <c r="AU7" i="1" s="1"/>
  <c r="AP7" i="1"/>
  <c r="AR7" i="1" s="1"/>
  <c r="AM7" i="1"/>
  <c r="AO7" i="1" s="1"/>
  <c r="AJ7" i="1"/>
  <c r="AL7" i="1" s="1"/>
  <c r="AG7" i="1"/>
  <c r="AI7" i="1" s="1"/>
  <c r="AD7" i="1"/>
  <c r="AF7" i="1" s="1"/>
  <c r="AA7" i="1"/>
  <c r="AC7" i="1" s="1"/>
  <c r="X7" i="1"/>
  <c r="Z7" i="1" s="1"/>
  <c r="U7" i="1"/>
  <c r="W7" i="1" s="1"/>
  <c r="R7" i="1"/>
  <c r="T7" i="1" s="1"/>
  <c r="O7" i="1"/>
  <c r="Q7" i="1" s="1"/>
  <c r="L7" i="1"/>
  <c r="N7" i="1" s="1"/>
  <c r="I7" i="1"/>
  <c r="K7" i="1" s="1"/>
  <c r="BN6" i="1"/>
  <c r="BP6" i="1" s="1"/>
  <c r="BK6" i="1"/>
  <c r="BM6" i="1" s="1"/>
  <c r="BE6" i="1"/>
  <c r="BG6" i="1" s="1"/>
  <c r="BB6" i="1"/>
  <c r="BD6" i="1" s="1"/>
  <c r="AY6" i="1"/>
  <c r="BA6" i="1" s="1"/>
  <c r="AV6" i="1"/>
  <c r="AS6" i="1"/>
  <c r="AU6" i="1" s="1"/>
  <c r="AP6" i="1"/>
  <c r="AR6" i="1" s="1"/>
  <c r="AM6" i="1"/>
  <c r="AO6" i="1" s="1"/>
  <c r="AJ6" i="1"/>
  <c r="AL6" i="1" s="1"/>
  <c r="AG6" i="1"/>
  <c r="AI6" i="1" s="1"/>
  <c r="AD6" i="1"/>
  <c r="AF6" i="1" s="1"/>
  <c r="AA6" i="1"/>
  <c r="AC6" i="1" s="1"/>
  <c r="X6" i="1"/>
  <c r="Z6" i="1" s="1"/>
  <c r="R6" i="1"/>
  <c r="T6" i="1" s="1"/>
  <c r="O6" i="1"/>
  <c r="Q6" i="1" s="1"/>
  <c r="L6" i="1"/>
  <c r="N6" i="1" s="1"/>
  <c r="I6" i="1"/>
  <c r="K6" i="1" s="1"/>
  <c r="AV18" i="1"/>
  <c r="AP18" i="1"/>
  <c r="BN18" i="1"/>
  <c r="X18" i="1"/>
  <c r="R18" i="1"/>
  <c r="BI8" i="1" l="1"/>
  <c r="AW8" i="1"/>
  <c r="Y8" i="1"/>
  <c r="Z8" i="1" s="1"/>
  <c r="AC10" i="1"/>
  <c r="BM11" i="1"/>
  <c r="K10" i="1"/>
  <c r="AI10" i="1"/>
  <c r="BG10" i="1"/>
  <c r="AN8" i="1"/>
  <c r="AO8" i="1" s="1"/>
  <c r="Y12" i="1"/>
  <c r="Z12" i="1" s="1"/>
  <c r="AW12" i="1"/>
  <c r="AX12" i="1" s="1"/>
  <c r="M8" i="1"/>
  <c r="N8" i="1" s="1"/>
  <c r="AE12" i="1"/>
  <c r="AF12" i="1" s="1"/>
  <c r="BC12" i="1"/>
  <c r="BD12" i="1" s="1"/>
  <c r="J12" i="1"/>
  <c r="K12" i="1" s="1"/>
  <c r="AH12" i="1"/>
  <c r="AI12" i="1" s="1"/>
  <c r="BF12" i="1"/>
  <c r="BG12" i="1" s="1"/>
  <c r="M12" i="1"/>
  <c r="N12" i="1" s="1"/>
  <c r="AK12" i="1"/>
  <c r="AL12" i="1" s="1"/>
  <c r="BI12" i="1"/>
  <c r="BJ12" i="1" s="1"/>
  <c r="P12" i="1"/>
  <c r="Q12" i="1" s="1"/>
  <c r="AN12" i="1"/>
  <c r="AO12" i="1" s="1"/>
  <c r="T18" i="1"/>
  <c r="W10" i="1"/>
  <c r="AU10" i="1"/>
  <c r="BJ8" i="1"/>
  <c r="BA10" i="1"/>
  <c r="BP18" i="1"/>
  <c r="AR18" i="1"/>
  <c r="W9" i="1"/>
  <c r="AU9" i="1"/>
  <c r="AL10" i="1"/>
  <c r="BJ10" i="1"/>
  <c r="AC11" i="1"/>
  <c r="BA11" i="1"/>
  <c r="AX8" i="1"/>
  <c r="Q9" i="1"/>
  <c r="AF10" i="1"/>
  <c r="BD10" i="1"/>
  <c r="W11" i="1"/>
  <c r="AU11" i="1"/>
  <c r="AX18" i="1"/>
  <c r="BM9" i="1"/>
  <c r="AO9" i="1"/>
  <c r="AF9" i="1"/>
  <c r="BD9" i="1"/>
  <c r="W18" i="1"/>
  <c r="Z10" i="1"/>
  <c r="AX10" i="1"/>
  <c r="N11" i="1"/>
  <c r="BJ11" i="1"/>
  <c r="T12" i="1"/>
  <c r="Z9" i="1"/>
  <c r="AX9" i="1"/>
  <c r="Q8" i="1"/>
  <c r="T9" i="1"/>
  <c r="AR9" i="1"/>
  <c r="BP9" i="1"/>
  <c r="AR11" i="1"/>
  <c r="Q11" i="1"/>
  <c r="AO11" i="1"/>
  <c r="AR12" i="1"/>
  <c r="AC9" i="1"/>
  <c r="BA9" i="1"/>
  <c r="BM10" i="1"/>
  <c r="BA12" i="1"/>
  <c r="Q10" i="1"/>
  <c r="T10" i="1"/>
  <c r="AR10" i="1"/>
  <c r="BP10" i="1"/>
  <c r="AF11" i="1"/>
  <c r="BD11" i="1"/>
  <c r="AO10" i="1"/>
  <c r="AI11" i="1"/>
  <c r="BG11" i="1"/>
  <c r="K9" i="1"/>
  <c r="AI9" i="1"/>
  <c r="BG9" i="1"/>
  <c r="Z18" i="1"/>
  <c r="BP12" i="1"/>
  <c r="N10" i="1"/>
  <c r="Z11" i="1"/>
  <c r="AX11" i="1"/>
  <c r="BG18" i="1"/>
  <c r="AC12" i="1"/>
  <c r="K11" i="1"/>
  <c r="N9" i="1"/>
  <c r="T11" i="1"/>
  <c r="AL9" i="1"/>
  <c r="BJ9" i="1"/>
  <c r="BP11" i="1"/>
  <c r="AL11" i="1"/>
  <c r="U12" i="1"/>
  <c r="W12" i="1" s="1"/>
  <c r="AU12" i="1"/>
  <c r="BM12" i="1"/>
  <c r="AC8" i="1"/>
  <c r="BF8" i="1"/>
  <c r="BG8" i="1" s="1"/>
  <c r="AK8" i="1"/>
  <c r="AL8" i="1" s="1"/>
  <c r="J8" i="1"/>
  <c r="K8" i="1" s="1"/>
  <c r="BC8" i="1"/>
  <c r="BD8" i="1" s="1"/>
  <c r="AH8" i="1"/>
  <c r="AZ8" i="1"/>
  <c r="BA8" i="1" s="1"/>
  <c r="AE8" i="1"/>
  <c r="AF8" i="1" s="1"/>
  <c r="AT8" i="1"/>
  <c r="AU8" i="1" s="1"/>
  <c r="V8" i="1"/>
  <c r="W8" i="1" s="1"/>
  <c r="BO8" i="1"/>
  <c r="BP8" i="1" s="1"/>
  <c r="AQ8" i="1"/>
  <c r="AR8" i="1" s="1"/>
  <c r="S8" i="1"/>
  <c r="BL8" i="1"/>
  <c r="BM8" i="1" s="1"/>
  <c r="O18" i="1"/>
  <c r="Q18" i="1" s="1"/>
  <c r="AY18" i="1"/>
  <c r="BA18" i="1" s="1"/>
  <c r="AG18" i="1"/>
  <c r="AI18" i="1" s="1"/>
  <c r="L18" i="1"/>
  <c r="N18" i="1" s="1"/>
  <c r="AJ18" i="1"/>
  <c r="AL18" i="1" s="1"/>
  <c r="BH18" i="1"/>
  <c r="BJ18" i="1" s="1"/>
  <c r="AS18" i="1"/>
  <c r="AU18" i="1" s="1"/>
  <c r="AD18" i="1"/>
  <c r="AF18" i="1" s="1"/>
  <c r="I18" i="1"/>
  <c r="K18" i="1" s="1"/>
  <c r="BB18" i="1"/>
  <c r="BD18" i="1" s="1"/>
  <c r="AM18" i="1"/>
  <c r="AO18" i="1" s="1"/>
  <c r="BK18" i="1"/>
  <c r="BM18" i="1" s="1"/>
  <c r="AA18" i="1"/>
  <c r="AC18" i="1" s="1"/>
  <c r="N28" i="1" l="1"/>
  <c r="AW28" i="1"/>
  <c r="AZ28" i="1"/>
  <c r="M28" i="1"/>
  <c r="S28" i="1"/>
  <c r="AH28" i="1"/>
  <c r="AB28" i="1"/>
  <c r="AX28" i="1"/>
  <c r="J28" i="1"/>
  <c r="AK28" i="1"/>
  <c r="AN28" i="1"/>
  <c r="BG28" i="1"/>
  <c r="AT28" i="1"/>
  <c r="AQ28" i="1"/>
  <c r="Y28" i="1"/>
  <c r="P28" i="1"/>
  <c r="BP28" i="1"/>
  <c r="V28" i="1"/>
  <c r="BL28" i="1"/>
  <c r="AO28" i="1"/>
  <c r="T8" i="1"/>
  <c r="T28" i="1" s="1"/>
  <c r="BF28" i="1"/>
  <c r="AI8" i="1"/>
  <c r="AI28" i="1" s="1"/>
  <c r="AR28" i="1"/>
  <c r="BO28" i="1"/>
  <c r="K28" i="1"/>
  <c r="Z28" i="1"/>
  <c r="BC28" i="1"/>
  <c r="AL28" i="1"/>
  <c r="BI28" i="1"/>
  <c r="AE28" i="1"/>
  <c r="AU28" i="1"/>
  <c r="W28" i="1"/>
  <c r="Q28" i="1"/>
  <c r="BJ28" i="1"/>
  <c r="AC28" i="1"/>
  <c r="BM28" i="1"/>
  <c r="BD28" i="1"/>
  <c r="BA28" i="1"/>
  <c r="AF28" i="1"/>
  <c r="N29" i="1" l="1"/>
  <c r="K29" i="1"/>
  <c r="AX29" i="1"/>
  <c r="AR29" i="1"/>
  <c r="AI29" i="1"/>
  <c r="Z29" i="1"/>
  <c r="BA29" i="1"/>
  <c r="AC29" i="1"/>
  <c r="AL29" i="1"/>
  <c r="AO29" i="1"/>
  <c r="Q29" i="1"/>
  <c r="AU29" i="1"/>
  <c r="BG29" i="1"/>
  <c r="T29" i="1"/>
  <c r="W29" i="1"/>
  <c r="BP29" i="1"/>
  <c r="AF29" i="1"/>
  <c r="BJ29" i="1"/>
  <c r="BD29" i="1"/>
  <c r="BM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Raviras Rodrigo</author>
  </authors>
  <commentList>
    <comment ref="AG12" authorId="0" shapeId="0" xr:uid="{E6CA7A28-C1E0-4B1C-A646-4ABF4030F7AD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21</t>
        </r>
      </text>
    </comment>
    <comment ref="J32" authorId="0" shapeId="0" xr:uid="{B73D0A9D-40E2-49E1-9AAC-1D3FF80135AF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L32" authorId="0" shapeId="0" xr:uid="{4AB2680E-FA61-4AB7-A2CE-8F44FDA5EE2C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AG40" authorId="0" shapeId="0" xr:uid="{446A05E2-5A3A-4FBB-B962-3B48B662DCFC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223</t>
        </r>
      </text>
    </comment>
  </commentList>
</comments>
</file>

<file path=xl/sharedStrings.xml><?xml version="1.0" encoding="utf-8"?>
<sst xmlns="http://schemas.openxmlformats.org/spreadsheetml/2006/main" count="1080" uniqueCount="285">
  <si>
    <t>Perspectives</t>
  </si>
  <si>
    <t>Strategic Objectives (KRA)</t>
  </si>
  <si>
    <t xml:space="preserve">Key Performance Indicators (KPI) </t>
  </si>
  <si>
    <t>Customer</t>
  </si>
  <si>
    <t>Service Assurance</t>
  </si>
  <si>
    <t>Fiber Failures Restoration(General): &lt; 4 Hrs</t>
  </si>
  <si>
    <t>Fiber Failures Restoration (Large scale&lt; Pole damages etc&gt;): &lt; 8 Hrs</t>
  </si>
  <si>
    <t>Service Fullfillment</t>
  </si>
  <si>
    <t>Enterprise/ SME and Whole Sales Service Delivery - Fiber</t>
  </si>
  <si>
    <t>Operation &amp; Maintenance of SLT towers and tower premises</t>
  </si>
  <si>
    <t>Points Applicable</t>
  </si>
  <si>
    <t>Metro(Mr. Sarath Hewanayaka)</t>
  </si>
  <si>
    <t>REGION 1(Mr. Harindra Atapattu)</t>
  </si>
  <si>
    <t>Region 2(Mr. W.S.P.Welikada)</t>
  </si>
  <si>
    <t>Region 3(Mr. M Pathmachuthan)</t>
  </si>
  <si>
    <t>Metro 1(Mr. Inesh Attanayaka)</t>
  </si>
  <si>
    <t>Metro 2(Mr. Lidira Guruge)</t>
  </si>
  <si>
    <t>WPN(Mr. Krishantha Sandaruwan)</t>
  </si>
  <si>
    <t>NWP(Mr. Sanjaya Perera)</t>
  </si>
  <si>
    <t>CP(Mr. Rajiv Weragama)</t>
  </si>
  <si>
    <t>SAB &amp; UVA(Mr. Damitha Angunawala)</t>
  </si>
  <si>
    <t>SP(Ms.Nilanka Menike)</t>
  </si>
  <si>
    <t>WPS(Mr. Thisan Dammith)</t>
  </si>
  <si>
    <t>EP(Mr. Y.Gobinath)</t>
  </si>
  <si>
    <t>NP(Mr. S.M.J.M.Senanayake)</t>
  </si>
  <si>
    <t>NW/WPC1(Manjula)</t>
  </si>
  <si>
    <t>NW/WPC2(Ruwan)</t>
  </si>
  <si>
    <t>NW/WPE(Indika)</t>
  </si>
  <si>
    <t>NW/WP S-W(Karunananda)</t>
  </si>
  <si>
    <t>NW/WP S-E(Vishwajith)</t>
  </si>
  <si>
    <t>NW/WPN(Lansakkara)</t>
  </si>
  <si>
    <t>NW/WP N-E(Kamal)</t>
  </si>
  <si>
    <t>NW/NWP-E(Thilini)</t>
  </si>
  <si>
    <t>NW/NWP-W(Thilanga)</t>
  </si>
  <si>
    <t>NW/CPN(Manora)</t>
  </si>
  <si>
    <t>NW/CPS(Iranga)</t>
  </si>
  <si>
    <t>NW/UVA(Roshan)</t>
  </si>
  <si>
    <t>NW/SAB(Chintaka)</t>
  </si>
  <si>
    <t>NW/SPE(Thilina)</t>
  </si>
  <si>
    <t>NW/SPW(Wasantha)</t>
  </si>
  <si>
    <t>WPS(Lalin)</t>
  </si>
  <si>
    <t>NW/EP(Kishanthan)</t>
  </si>
  <si>
    <r>
      <t>NW/NP</t>
    </r>
    <r>
      <rPr>
        <b/>
        <sz val="10"/>
        <color rgb="FF000000"/>
        <rFont val="Calibri"/>
        <family val="2"/>
      </rPr>
      <t>-1</t>
    </r>
    <r>
      <rPr>
        <sz val="10"/>
        <color rgb="FF000000"/>
        <rFont val="Calibri"/>
        <family val="2"/>
      </rPr>
      <t>(Nandakumaran)</t>
    </r>
  </si>
  <si>
    <t>NW/NP-2(Puveehan)</t>
  </si>
  <si>
    <t>NW/NCP(Dileepa)</t>
  </si>
  <si>
    <t>HK</t>
  </si>
  <si>
    <t>CEN/MD</t>
  </si>
  <si>
    <t>KON/KX</t>
  </si>
  <si>
    <t>ND/RM</t>
  </si>
  <si>
    <t>AW/HO</t>
  </si>
  <si>
    <t>NG/WT</t>
  </si>
  <si>
    <t>GQ/KI/NTB</t>
  </si>
  <si>
    <t>KG/KLY</t>
  </si>
  <si>
    <t>CW/PX</t>
  </si>
  <si>
    <t>KY/MT</t>
  </si>
  <si>
    <t>GP/HT/NW</t>
  </si>
  <si>
    <t>BD/BW/MRG</t>
  </si>
  <si>
    <t>KE/RN</t>
  </si>
  <si>
    <t>EMB/HB/MH</t>
  </si>
  <si>
    <t>AG/GL</t>
  </si>
  <si>
    <t>HR/KT/PH</t>
  </si>
  <si>
    <t>BC/AP/KL/TC</t>
  </si>
  <si>
    <t>JA</t>
  </si>
  <si>
    <t>KO/MLT/MB/VA</t>
  </si>
  <si>
    <t>AD/PR</t>
  </si>
  <si>
    <t>Achieved KPI</t>
  </si>
  <si>
    <t>Maximum Points Per KPI</t>
  </si>
  <si>
    <t>Points Achieved</t>
  </si>
  <si>
    <t>SLBN NW Availability</t>
  </si>
  <si>
    <t>IP Core NW Availability</t>
  </si>
  <si>
    <t>BSR NW availability</t>
  </si>
  <si>
    <t>Service Edge NW availability</t>
  </si>
  <si>
    <t>International BH Availability</t>
  </si>
  <si>
    <t>Target</t>
  </si>
  <si>
    <t>Above 95%</t>
  </si>
  <si>
    <t>99.999</t>
  </si>
  <si>
    <t>99.999%</t>
  </si>
  <si>
    <t>99.990</t>
  </si>
  <si>
    <t>99.950</t>
  </si>
  <si>
    <t>99.990%</t>
  </si>
  <si>
    <t>99.950%</t>
  </si>
  <si>
    <t>KPI(Fiber Failures Restoration,NW Availability-SLBN/SDH/FIBER NW/INTL BH)</t>
  </si>
  <si>
    <t>R-GM</t>
  </si>
  <si>
    <t>Metro</t>
  </si>
  <si>
    <t>REGION 1</t>
  </si>
  <si>
    <t>Region 2</t>
  </si>
  <si>
    <t>Region 3</t>
  </si>
  <si>
    <t>NW KPI</t>
  </si>
  <si>
    <t>P-DGM</t>
  </si>
  <si>
    <t>Metro 1</t>
  </si>
  <si>
    <t>Metro 2</t>
  </si>
  <si>
    <t>WPN &amp; NWP</t>
  </si>
  <si>
    <t>CP &amp; NCP</t>
  </si>
  <si>
    <t>SAB &amp; UVA</t>
  </si>
  <si>
    <t>WPS &amp; SP</t>
  </si>
  <si>
    <t>EP</t>
  </si>
  <si>
    <t>NP</t>
  </si>
  <si>
    <t>NW EE</t>
  </si>
  <si>
    <t>NW/WPC1</t>
  </si>
  <si>
    <t>NW/WPC2</t>
  </si>
  <si>
    <t>NW/WP N-E</t>
  </si>
  <si>
    <t>NW/WP S-W</t>
  </si>
  <si>
    <t>NW/WP S-E</t>
  </si>
  <si>
    <t>NW/WPE</t>
  </si>
  <si>
    <t>NW/WPN</t>
  </si>
  <si>
    <t>NW/NWP-E</t>
  </si>
  <si>
    <t>NW/NWP-W</t>
  </si>
  <si>
    <t>NW/CPN</t>
  </si>
  <si>
    <t>NW/CPS</t>
  </si>
  <si>
    <t>NW/NCP</t>
  </si>
  <si>
    <t>NW/UVA</t>
  </si>
  <si>
    <t>NW/SAB</t>
  </si>
  <si>
    <t>NW/SPE</t>
  </si>
  <si>
    <t>NW/SPW</t>
  </si>
  <si>
    <t>WPS</t>
  </si>
  <si>
    <t>NW/EP</t>
  </si>
  <si>
    <r>
      <t>NW/NP</t>
    </r>
    <r>
      <rPr>
        <b/>
        <sz val="10"/>
        <color rgb="FF000000"/>
        <rFont val="Calibri"/>
        <family val="2"/>
      </rPr>
      <t>-1</t>
    </r>
  </si>
  <si>
    <t>NW/NP-2</t>
  </si>
  <si>
    <t>No</t>
  </si>
  <si>
    <t>Network Engineers KPI's</t>
  </si>
  <si>
    <t>DIVISION</t>
  </si>
  <si>
    <t>SECTION</t>
  </si>
  <si>
    <t>KPI (%)</t>
  </si>
  <si>
    <t>RTOM AREA</t>
  </si>
  <si>
    <t>DB/KY/MT</t>
  </si>
  <si>
    <t>TRANSPORT &amp; ACCESS</t>
  </si>
  <si>
    <t>BB&amp;ANW</t>
  </si>
  <si>
    <t>Unavailable NE minutes</t>
  </si>
  <si>
    <t>0</t>
  </si>
  <si>
    <t>Total Minutes</t>
  </si>
  <si>
    <t>Total nodes</t>
  </si>
  <si>
    <t>2</t>
  </si>
  <si>
    <t>Total NE Minutes</t>
  </si>
  <si>
    <t>Unavailable Fiber Links minutes</t>
  </si>
  <si>
    <t>Total Fiber Links Minutes</t>
  </si>
  <si>
    <t>Total Links</t>
  </si>
  <si>
    <t>Fiber Failures Restoration(General): &lt;4 Hrs</t>
  </si>
  <si>
    <t>INT  &amp; NT OP</t>
  </si>
  <si>
    <t>Total Failed Links</t>
  </si>
  <si>
    <t>Links SLA Not Violated</t>
  </si>
  <si>
    <t>Fiber Failures Restoration(Large scale&lt; Pole damages etc&gt;): &lt;8 Hrs</t>
  </si>
  <si>
    <t xml:space="preserve">SDH and SLBN Links Failed Total </t>
  </si>
  <si>
    <t xml:space="preserve"> SLBN &amp; SDH NW  &lt;4 Hrs</t>
  </si>
  <si>
    <t xml:space="preserve"> SLBN &amp; SDH NW  &lt;8 Hrs</t>
  </si>
  <si>
    <t>NW faults in SLBN &amp; SDH NW (General): &lt;4 Hrs</t>
  </si>
  <si>
    <t>INT &amp; NT OP</t>
  </si>
  <si>
    <t>NW faults in SLBN &amp; SDH NW (Large scale: &lt;8 Hrs</t>
  </si>
  <si>
    <t>KPI(NW Availability-IP Core NW/BSR NW/Service Edge NW)</t>
  </si>
  <si>
    <t>E/WPC2</t>
  </si>
  <si>
    <t>IPNWOP</t>
  </si>
  <si>
    <t>N/A</t>
  </si>
  <si>
    <t>No.Of Days for this month</t>
  </si>
  <si>
    <t>KPI(Enterprise/ SME and Whole Sales Service Delivery - Fiber)</t>
  </si>
  <si>
    <t>WPC-1</t>
  </si>
  <si>
    <t>WPC-2</t>
  </si>
  <si>
    <t>KPI</t>
  </si>
  <si>
    <t>Calculation</t>
  </si>
  <si>
    <t>Platform</t>
  </si>
  <si>
    <t>Responsible DGM</t>
  </si>
  <si>
    <t>Defined OLA Details</t>
  </si>
  <si>
    <t>Weightage</t>
  </si>
  <si>
    <t>Data Sources</t>
  </si>
  <si>
    <t>Identification of proper CEA Node and customer location code creation in OSS for delivering services(IDNENTIFY FACILITIES)</t>
  </si>
  <si>
    <t>WOO completed within OLA/Total WOO Received</t>
  </si>
  <si>
    <t>Fiber</t>
  </si>
  <si>
    <t>Regional DGM/DGM SF</t>
  </si>
  <si>
    <t>2 Days</t>
  </si>
  <si>
    <t>OSS Reports</t>
  </si>
  <si>
    <t>Assign fiber cores and completion of X-connections in OSS if end to end fiber available. If not inform whether finber is not available or incompete and complete other required OSS attributes. (RESERVE ACCESS FIBER)</t>
  </si>
  <si>
    <t>Completion of live joint splicing and termination. (SPLICE &amp; TERMINATE)</t>
  </si>
  <si>
    <t>5 Days</t>
  </si>
  <si>
    <t>Upload fiber information in to OSS after completing splicing. (UPLOAD FIBER IN OSS)</t>
  </si>
  <si>
    <t>Assign new fiber cores and completion of X-connections in OSS after completing new fiber laying. (ASSIGN NEW ACCESS FIBER)</t>
  </si>
  <si>
    <t>Verify fiber termination, set up end to end connectivity, install NTU (SS/SFP), measure end to end power levels and update OSS attributes. (ESTABLISH ACCESS LINK)</t>
  </si>
  <si>
    <t xml:space="preserve">3 days </t>
  </si>
  <si>
    <t>Installation of NTUs (INSTALL NTU/MODIFY NTU FO)</t>
  </si>
  <si>
    <t>Installation of SHDSL cards</t>
  </si>
  <si>
    <t>4 Days</t>
  </si>
  <si>
    <t>Routing maintenace - IPNW (every two months)</t>
  </si>
  <si>
    <t># completed nodes/Total # Nodes</t>
  </si>
  <si>
    <t>IPNW</t>
  </si>
  <si>
    <t>NW Mng</t>
  </si>
  <si>
    <t>Every 2 Months</t>
  </si>
  <si>
    <t>NW Report</t>
  </si>
  <si>
    <t>Routing maintenace - SDH/SLBN (every two months)</t>
  </si>
  <si>
    <t>Int &amp; NT</t>
  </si>
  <si>
    <t>Routing maintenace - MSANN/OLTE (every six months)</t>
  </si>
  <si>
    <t>Every 4 Months</t>
  </si>
  <si>
    <t>Routing maintenace - eNode-B (every six months)</t>
  </si>
  <si>
    <t>WNO</t>
  </si>
  <si>
    <t># Nodes - IPNW(Nadeesha)</t>
  </si>
  <si>
    <t>Distribution</t>
  </si>
  <si>
    <t>Achievement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</si>
  <si>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</si>
  <si>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</si>
  <si>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</si>
  <si>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</si>
  <si>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</si>
  <si>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</si>
  <si>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</si>
  <si>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</si>
  <si>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</si>
  <si>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</si>
  <si>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</si>
  <si>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</si>
  <si>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Nodes - SLBN/SDH</t>
  </si>
  <si>
    <t># Nodes - MSAN/OLTE (Kumuthini)</t>
  </si>
  <si>
    <t>KPI(TOWER MAINTENANCE)</t>
  </si>
  <si>
    <t>Network Engineers responsibility</t>
  </si>
  <si>
    <t>Frequency</t>
  </si>
  <si>
    <t>weightage</t>
  </si>
  <si>
    <t>Number of towers</t>
  </si>
  <si>
    <t>Proper maintaining and cleaning of tower site, access roads, tower leg bases and guy bases.</t>
  </si>
  <si>
    <t>Quaterly</t>
  </si>
  <si>
    <t>100%</t>
  </si>
  <si>
    <t>Visual inspection of tower condition, aviation lighting system etc.</t>
  </si>
  <si>
    <t>Measure earth readings and inspect Earthing system</t>
  </si>
  <si>
    <t>Total Marks</t>
  </si>
  <si>
    <t>Above 85%</t>
  </si>
  <si>
    <t>Above 80%</t>
  </si>
  <si>
    <t xml:space="preserve">E/NW/ EPS </t>
  </si>
  <si>
    <t>E/NW/CPN</t>
  </si>
  <si>
    <t>E/NW/CPS</t>
  </si>
  <si>
    <t>E/NW/NCP</t>
  </si>
  <si>
    <t>E/NW/NP2</t>
  </si>
  <si>
    <t>E/NW/NPN</t>
  </si>
  <si>
    <t>E/NW/NWPE</t>
  </si>
  <si>
    <t>E/NW/NWPW</t>
  </si>
  <si>
    <t xml:space="preserve">E/NW/SAB </t>
  </si>
  <si>
    <t>E/NW/SPE</t>
  </si>
  <si>
    <t>E/NW/SPW</t>
  </si>
  <si>
    <t>E/NW/UVA</t>
  </si>
  <si>
    <t>E/NW/WPC1</t>
  </si>
  <si>
    <t>E/NW/WPC2</t>
  </si>
  <si>
    <t>E/NW/WPE</t>
  </si>
  <si>
    <t>E/NW/WPN</t>
  </si>
  <si>
    <t>E/NW/WPNE</t>
  </si>
  <si>
    <t>E/NW/WPS</t>
  </si>
  <si>
    <t>E/NW/WPSE</t>
  </si>
  <si>
    <t>E/NW/WPSW</t>
  </si>
  <si>
    <t>NW/NP-1(Nandakumaran)</t>
  </si>
  <si>
    <t>Previous KPI</t>
  </si>
  <si>
    <t>New KPI</t>
  </si>
  <si>
    <t>Network Engineer</t>
  </si>
  <si>
    <t>SLBN Node Availability</t>
  </si>
  <si>
    <t>MSAN availability (Except power)</t>
  </si>
  <si>
    <t>MSAN availability (With power)</t>
  </si>
  <si>
    <t>IP Core Node Availability</t>
  </si>
  <si>
    <t xml:space="preserve"> Routine maintenance -  IPNW</t>
  </si>
  <si>
    <t>MSAN/OLT Node Availability</t>
  </si>
  <si>
    <t xml:space="preserve"> Routine maintenance - MSAN/OLT</t>
  </si>
  <si>
    <t xml:space="preserve">O&amp;M of Power &amp; Aircondition </t>
  </si>
  <si>
    <t>BSR Node availability</t>
  </si>
  <si>
    <t>Service Edge Node availability</t>
  </si>
  <si>
    <t>International Backhaul Node Availability</t>
  </si>
  <si>
    <t>KPI(MSANN Power Failures Restoration,NW Availability-MSAN/OLT )</t>
  </si>
  <si>
    <t>NW/WPC</t>
  </si>
  <si>
    <t>CEN/HK/MD</t>
  </si>
  <si>
    <t>Unavailable MSAN minutes</t>
  </si>
  <si>
    <t>Total MSAN Minutes</t>
  </si>
  <si>
    <t>99.940</t>
  </si>
  <si>
    <t xml:space="preserve">Total MSAN Minutes </t>
  </si>
  <si>
    <t>Total No of Customers</t>
  </si>
  <si>
    <t xml:space="preserve"> Routine maintenance - SLBN</t>
  </si>
  <si>
    <t>#+A5:G20</t>
  </si>
  <si>
    <t>Fiber NW availability</t>
  </si>
  <si>
    <t>Category</t>
  </si>
  <si>
    <t>Transmission</t>
  </si>
  <si>
    <t>Network Availability</t>
  </si>
  <si>
    <t>Telemetry Network Availability</t>
  </si>
  <si>
    <t>Routine Maintenance</t>
  </si>
  <si>
    <t>Tower</t>
  </si>
  <si>
    <t>Power &amp; AC</t>
  </si>
  <si>
    <t>Enterprise</t>
  </si>
  <si>
    <t>Other Operator</t>
  </si>
  <si>
    <t>Enteprise</t>
  </si>
  <si>
    <t>Fault Rate (E/NW wise SLA)</t>
  </si>
  <si>
    <t>Repeated Fault Index (E/NW wise SLA)</t>
  </si>
  <si>
    <t>Fault Clearance Rate &lt; 4 hrs</t>
  </si>
  <si>
    <t>Variable Targets</t>
  </si>
  <si>
    <t>Service Fulfillment</t>
  </si>
  <si>
    <t>Serice Fulfillment</t>
  </si>
  <si>
    <t xml:space="preserve">Enterprise/SME and Whole Sales Service Delivery </t>
  </si>
  <si>
    <t>Total</t>
  </si>
  <si>
    <t>Fault Clearance Rate &lt; 8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</si>
</sst>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0.0000%"/>
    <numFmt numFmtId="166" formatCode="0.0%"/>
    <numFmt numFmtId="167" formatCode="0.00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215967"/>
      <name val="Calibri"/>
      <family val="2"/>
    </font>
    <font>
      <b/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4A3C8C"/>
      <name val="Segoe UI"/>
      <family val="2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E7E7FF"/>
      </left>
      <right/>
      <top style="medium">
        <color rgb="FFE7E7FF"/>
      </top>
      <bottom style="medium">
        <color rgb="FFE7E7FF"/>
      </bottom>
      <diagonal/>
    </border>
    <border>
      <left/>
      <right/>
      <top style="medium">
        <color rgb="FFE7E7FF"/>
      </top>
      <bottom style="medium">
        <color rgb="FFE7E7FF"/>
      </bottom>
      <diagonal/>
    </border>
    <border>
      <left/>
      <right style="medium">
        <color rgb="FFE7E7FF"/>
      </right>
      <top style="medium">
        <color rgb="FFE7E7FF"/>
      </top>
      <bottom style="medium">
        <color rgb="FFE7E7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11" borderId="0" applyNumberFormat="0" applyBorder="0" applyAlignment="0" applyProtection="0"/>
    <xf numFmtId="0" fontId="17" fillId="0" borderId="0"/>
  </cellStyleXfs>
  <cellXfs count="4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8" fillId="9" borderId="21" xfId="1" applyNumberFormat="1" applyFont="1" applyFill="1" applyBorder="1" applyAlignment="1">
      <alignment horizontal="center" vertical="center"/>
    </xf>
    <xf numFmtId="164" fontId="9" fillId="10" borderId="22" xfId="1" applyNumberFormat="1" applyFont="1" applyFill="1" applyBorder="1" applyAlignment="1">
      <alignment horizontal="center" vertical="center"/>
    </xf>
    <xf numFmtId="164" fontId="8" fillId="9" borderId="27" xfId="1" quotePrefix="1" applyNumberFormat="1" applyFont="1" applyFill="1" applyBorder="1" applyAlignment="1">
      <alignment horizontal="center" vertical="center"/>
    </xf>
    <xf numFmtId="164" fontId="9" fillId="10" borderId="28" xfId="1" quotePrefix="1" applyNumberFormat="1" applyFont="1" applyFill="1" applyBorder="1" applyAlignment="1">
      <alignment horizontal="center" vertical="center"/>
    </xf>
    <xf numFmtId="164" fontId="8" fillId="9" borderId="14" xfId="1" applyNumberFormat="1" applyFont="1" applyFill="1" applyBorder="1" applyAlignment="1">
      <alignment horizontal="center" vertical="center"/>
    </xf>
    <xf numFmtId="164" fontId="9" fillId="10" borderId="29" xfId="1" applyNumberFormat="1" applyFont="1" applyFill="1" applyBorder="1" applyAlignment="1">
      <alignment horizontal="center" vertical="center"/>
    </xf>
    <xf numFmtId="164" fontId="8" fillId="9" borderId="14" xfId="0" applyNumberFormat="1" applyFont="1" applyFill="1" applyBorder="1" applyAlignment="1">
      <alignment horizontal="center" vertical="center"/>
    </xf>
    <xf numFmtId="164" fontId="9" fillId="10" borderId="20" xfId="0" applyNumberFormat="1" applyFont="1" applyFill="1" applyBorder="1" applyAlignment="1">
      <alignment horizontal="center" vertical="center"/>
    </xf>
    <xf numFmtId="164" fontId="9" fillId="10" borderId="30" xfId="1" applyNumberFormat="1" applyFont="1" applyFill="1" applyBorder="1" applyAlignment="1">
      <alignment horizontal="center" vertical="center"/>
    </xf>
    <xf numFmtId="164" fontId="9" fillId="10" borderId="28" xfId="1" applyNumberFormat="1" applyFont="1" applyFill="1" applyBorder="1" applyAlignment="1">
      <alignment horizontal="center" vertical="center"/>
    </xf>
    <xf numFmtId="164" fontId="8" fillId="10" borderId="28" xfId="1" applyNumberFormat="1" applyFont="1" applyFill="1" applyBorder="1" applyAlignment="1">
      <alignment horizontal="center" vertical="center"/>
    </xf>
    <xf numFmtId="164" fontId="8" fillId="9" borderId="29" xfId="1" applyNumberFormat="1" applyFont="1" applyFill="1" applyBorder="1" applyAlignment="1">
      <alignment horizontal="center" vertical="center"/>
    </xf>
    <xf numFmtId="164" fontId="8" fillId="9" borderId="31" xfId="1" applyNumberFormat="1" applyFont="1" applyFill="1" applyBorder="1" applyAlignment="1">
      <alignment horizontal="center" vertical="center"/>
    </xf>
    <xf numFmtId="164" fontId="9" fillId="10" borderId="32" xfId="1" applyNumberFormat="1" applyFont="1" applyFill="1" applyBorder="1" applyAlignment="1">
      <alignment horizontal="center" vertical="center"/>
    </xf>
    <xf numFmtId="164" fontId="8" fillId="9" borderId="20" xfId="1" applyNumberFormat="1" applyFont="1" applyFill="1" applyBorder="1" applyAlignment="1">
      <alignment horizontal="center" vertical="center"/>
    </xf>
    <xf numFmtId="164" fontId="8" fillId="9" borderId="33" xfId="1" applyNumberFormat="1" applyFont="1" applyFill="1" applyBorder="1" applyAlignment="1">
      <alignment horizontal="center" vertical="center"/>
    </xf>
    <xf numFmtId="164" fontId="8" fillId="9" borderId="32" xfId="1" applyNumberFormat="1" applyFont="1" applyFill="1" applyBorder="1" applyAlignment="1">
      <alignment horizontal="center" vertical="center"/>
    </xf>
    <xf numFmtId="164" fontId="8" fillId="9" borderId="18" xfId="1" applyNumberFormat="1" applyFont="1" applyFill="1" applyBorder="1" applyAlignment="1">
      <alignment horizontal="center" vertical="center"/>
    </xf>
    <xf numFmtId="164" fontId="8" fillId="9" borderId="20" xfId="0" applyNumberFormat="1" applyFont="1" applyFill="1" applyBorder="1" applyAlignment="1">
      <alignment horizontal="center" vertical="center"/>
    </xf>
    <xf numFmtId="164" fontId="8" fillId="9" borderId="38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9" fontId="12" fillId="14" borderId="1" xfId="0" applyNumberFormat="1" applyFont="1" applyFill="1" applyBorder="1" applyAlignment="1">
      <alignment horizontal="center" vertical="center" wrapText="1"/>
    </xf>
    <xf numFmtId="49" fontId="13" fillId="0" borderId="40" xfId="0" applyNumberFormat="1" applyFont="1" applyBorder="1" applyAlignment="1">
      <alignment horizontal="center" vertical="center"/>
    </xf>
    <xf numFmtId="49" fontId="13" fillId="12" borderId="40" xfId="0" applyNumberFormat="1" applyFont="1" applyFill="1" applyBorder="1" applyAlignment="1">
      <alignment horizontal="center" vertical="center"/>
    </xf>
    <xf numFmtId="49" fontId="13" fillId="13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3" fillId="0" borderId="1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right" vertical="center" wrapText="1"/>
    </xf>
    <xf numFmtId="0" fontId="15" fillId="0" borderId="44" xfId="0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10" borderId="0" xfId="0" applyFill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/>
    <xf numFmtId="0" fontId="15" fillId="12" borderId="1" xfId="0" applyFon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/>
    </xf>
    <xf numFmtId="9" fontId="9" fillId="12" borderId="1" xfId="0" applyNumberFormat="1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right" vertical="center" wrapText="1"/>
    </xf>
    <xf numFmtId="1" fontId="8" fillId="12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/>
    </xf>
    <xf numFmtId="9" fontId="9" fillId="13" borderId="1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right" vertical="center" wrapText="1"/>
    </xf>
    <xf numFmtId="1" fontId="8" fillId="13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40" xfId="0" applyNumberFormat="1" applyFon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40" xfId="0" applyBorder="1"/>
    <xf numFmtId="0" fontId="0" fillId="0" borderId="36" xfId="0" applyBorder="1"/>
    <xf numFmtId="0" fontId="0" fillId="0" borderId="35" xfId="0" applyBorder="1"/>
    <xf numFmtId="0" fontId="0" fillId="0" borderId="34" xfId="0" applyBorder="1"/>
    <xf numFmtId="0" fontId="8" fillId="0" borderId="1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0" fillId="0" borderId="40" xfId="0" applyFont="1" applyBorder="1"/>
    <xf numFmtId="0" fontId="2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15" borderId="1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3" fillId="16" borderId="40" xfId="0" applyFont="1" applyFill="1" applyBorder="1" applyAlignment="1">
      <alignment vertical="center"/>
    </xf>
    <xf numFmtId="0" fontId="3" fillId="16" borderId="32" xfId="0" applyFont="1" applyFill="1" applyBorder="1" applyAlignment="1">
      <alignment vertical="center"/>
    </xf>
    <xf numFmtId="0" fontId="3" fillId="16" borderId="36" xfId="0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/>
    <xf numFmtId="0" fontId="3" fillId="10" borderId="1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1" xfId="0" applyFont="1" applyBorder="1"/>
    <xf numFmtId="0" fontId="3" fillId="17" borderId="1" xfId="0" applyFont="1" applyFill="1" applyBorder="1"/>
    <xf numFmtId="0" fontId="24" fillId="19" borderId="49" xfId="0" applyFont="1" applyFill="1" applyBorder="1" applyAlignment="1">
      <alignment vertical="center" wrapText="1"/>
    </xf>
    <xf numFmtId="0" fontId="24" fillId="19" borderId="50" xfId="0" applyFont="1" applyFill="1" applyBorder="1" applyAlignment="1">
      <alignment vertical="center" wrapText="1"/>
    </xf>
    <xf numFmtId="0" fontId="3" fillId="10" borderId="44" xfId="0" applyFont="1" applyFill="1" applyBorder="1" applyAlignment="1">
      <alignment vertical="center"/>
    </xf>
    <xf numFmtId="0" fontId="22" fillId="0" borderId="1" xfId="0" applyFont="1" applyBorder="1"/>
    <xf numFmtId="0" fontId="22" fillId="17" borderId="1" xfId="0" applyFont="1" applyFill="1" applyBorder="1"/>
    <xf numFmtId="0" fontId="22" fillId="0" borderId="0" xfId="0" applyFont="1"/>
    <xf numFmtId="0" fontId="24" fillId="19" borderId="0" xfId="0" applyFont="1" applyFill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4" fillId="21" borderId="0" xfId="0" applyFont="1" applyFill="1" applyAlignment="1">
      <alignment vertical="center" wrapText="1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0" fillId="16" borderId="4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49" fontId="13" fillId="16" borderId="40" xfId="0" applyNumberFormat="1" applyFont="1" applyFill="1" applyBorder="1" applyAlignment="1">
      <alignment horizontal="center" vertical="center"/>
    </xf>
    <xf numFmtId="49" fontId="13" fillId="16" borderId="1" xfId="0" applyNumberFormat="1" applyFont="1" applyFill="1" applyBorder="1" applyAlignment="1">
      <alignment horizontal="center" vertical="center"/>
    </xf>
    <xf numFmtId="9" fontId="0" fillId="16" borderId="1" xfId="1" applyFont="1" applyFill="1" applyBorder="1" applyAlignment="1">
      <alignment horizontal="center" vertical="center"/>
    </xf>
    <xf numFmtId="9" fontId="0" fillId="16" borderId="1" xfId="0" applyNumberFormat="1" applyFill="1" applyBorder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6" fontId="3" fillId="14" borderId="0" xfId="1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167" fontId="9" fillId="10" borderId="1" xfId="1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164" fontId="2" fillId="22" borderId="1" xfId="1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12" borderId="1" xfId="0" applyFont="1" applyFill="1" applyBorder="1"/>
    <xf numFmtId="2" fontId="2" fillId="12" borderId="1" xfId="0" applyNumberFormat="1" applyFont="1" applyFill="1" applyBorder="1"/>
    <xf numFmtId="0" fontId="3" fillId="0" borderId="40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2" fillId="12" borderId="1" xfId="0" applyNumberFormat="1" applyFont="1" applyFill="1" applyBorder="1"/>
    <xf numFmtId="164" fontId="28" fillId="0" borderId="1" xfId="1" applyNumberFormat="1" applyFont="1" applyFill="1" applyBorder="1" applyAlignment="1">
      <alignment horizontal="center" vertical="center" wrapText="1"/>
    </xf>
    <xf numFmtId="164" fontId="29" fillId="0" borderId="0" xfId="0" applyNumberFormat="1" applyFont="1" applyAlignment="1">
      <alignment horizontal="center"/>
    </xf>
    <xf numFmtId="165" fontId="8" fillId="9" borderId="1" xfId="1" applyNumberFormat="1" applyFont="1" applyFill="1" applyBorder="1" applyAlignment="1">
      <alignment horizontal="center" vertical="center"/>
    </xf>
    <xf numFmtId="167" fontId="8" fillId="9" borderId="1" xfId="1" applyNumberFormat="1" applyFont="1" applyFill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24" fillId="21" borderId="48" xfId="0" applyFont="1" applyFill="1" applyBorder="1" applyAlignment="1">
      <alignment vertical="center" wrapText="1"/>
    </xf>
    <xf numFmtId="0" fontId="24" fillId="21" borderId="49" xfId="0" applyFont="1" applyFill="1" applyBorder="1" applyAlignment="1">
      <alignment vertical="center" wrapText="1"/>
    </xf>
    <xf numFmtId="0" fontId="24" fillId="21" borderId="50" xfId="0" applyFont="1" applyFill="1" applyBorder="1" applyAlignment="1">
      <alignment vertical="center" wrapText="1"/>
    </xf>
    <xf numFmtId="0" fontId="8" fillId="18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10" borderId="1" xfId="1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2" fontId="8" fillId="9" borderId="18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/>
    <xf numFmtId="167" fontId="9" fillId="10" borderId="22" xfId="1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64" fontId="0" fillId="0" borderId="6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164" fontId="0" fillId="0" borderId="70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4" fontId="17" fillId="10" borderId="1" xfId="4" applyNumberFormat="1" applyFill="1" applyBorder="1" applyAlignment="1">
      <alignment horizontal="center"/>
    </xf>
    <xf numFmtId="10" fontId="0" fillId="10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12" borderId="1" xfId="1" applyFon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9" fontId="0" fillId="13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1" fontId="0" fillId="13" borderId="40" xfId="0" applyNumberForma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9" fontId="1" fillId="13" borderId="1" xfId="1" applyFont="1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0" fillId="0" borderId="36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6" fillId="0" borderId="1" xfId="0" applyFont="1" applyBorder="1"/>
    <xf numFmtId="164" fontId="0" fillId="0" borderId="55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164" fontId="0" fillId="0" borderId="57" xfId="0" applyNumberFormat="1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6" fillId="0" borderId="1" xfId="0" applyFont="1" applyBorder="1" applyAlignment="1">
      <alignment wrapText="1"/>
    </xf>
    <xf numFmtId="164" fontId="0" fillId="0" borderId="29" xfId="0" applyNumberFormat="1" applyBorder="1" applyAlignment="1">
      <alignment horizontal="center" vertical="center"/>
    </xf>
    <xf numFmtId="0" fontId="16" fillId="0" borderId="62" xfId="0" applyFont="1" applyBorder="1" applyAlignment="1">
      <alignment horizontal="center"/>
    </xf>
    <xf numFmtId="10" fontId="20" fillId="0" borderId="1" xfId="0" applyNumberFormat="1" applyFont="1" applyBorder="1" applyAlignment="1">
      <alignment horizontal="center" vertical="center"/>
    </xf>
    <xf numFmtId="10" fontId="20" fillId="14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3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3" fillId="18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5" fillId="0" borderId="1" xfId="0" applyFont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3" fillId="14" borderId="0" xfId="0" applyFont="1" applyFill="1" applyAlignment="1">
      <alignment horizontal="right" vertical="center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25" fillId="0" borderId="1" xfId="0" applyFont="1" applyBorder="1"/>
    <xf numFmtId="0" fontId="4" fillId="0" borderId="1" xfId="0" applyFont="1" applyBorder="1" applyAlignment="1">
      <alignment horizontal="center" vertical="center"/>
    </xf>
    <xf numFmtId="0" fontId="12" fillId="2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 vertical="center"/>
    </xf>
    <xf numFmtId="0" fontId="24" fillId="19" borderId="1" xfId="0" applyFont="1" applyFill="1" applyBorder="1" applyAlignment="1">
      <alignment vertical="center" wrapText="1"/>
    </xf>
    <xf numFmtId="0" fontId="24" fillId="21" borderId="1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54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6" borderId="4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0" fontId="3" fillId="0" borderId="40" xfId="1" applyNumberFormat="1" applyFont="1" applyFill="1" applyBorder="1" applyAlignment="1">
      <alignment horizontal="center" vertical="center"/>
    </xf>
    <xf numFmtId="10" fontId="3" fillId="0" borderId="36" xfId="1" applyNumberFormat="1" applyFont="1" applyFill="1" applyBorder="1" applyAlignment="1">
      <alignment horizontal="center" vertical="center"/>
    </xf>
    <xf numFmtId="10" fontId="3" fillId="3" borderId="40" xfId="1" applyNumberFormat="1" applyFont="1" applyFill="1" applyBorder="1" applyAlignment="1">
      <alignment horizontal="center" vertical="center"/>
    </xf>
    <xf numFmtId="10" fontId="3" fillId="3" borderId="36" xfId="1" applyNumberFormat="1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9" fontId="3" fillId="0" borderId="1" xfId="1" applyNumberFormat="1" applyFont="1" applyFill="1" applyBorder="1" applyAlignment="1">
      <alignment horizontal="center" vertical="center" wrapText="1"/>
    </xf>
  </cellXfs>
  <cellStyles count="5">
    <cellStyle name="Comma" xfId="2" builtinId="3"/>
    <cellStyle name="Neutral" xfId="3" builtinId="28"/>
    <cellStyle name="Normal" xfId="0" builtinId="0"/>
    <cellStyle name="Normal_Baseline Operationa plan_v2 2" xfId="4" xr:uid="{55CE3B4E-2478-4D52-8202-6AA633AB7DDD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Comparison'!$B$1</c:f>
              <c:strCache>
                <c:ptCount val="1"/>
                <c:pt idx="0">
                  <c:v>Previous 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Comparison'!$B$2:$B$21</c:f>
              <c:numCache>
                <c:formatCode>0.0000%</c:formatCode>
                <c:ptCount val="20"/>
                <c:pt idx="0">
                  <c:v>1.9722222222222221</c:v>
                </c:pt>
                <c:pt idx="1">
                  <c:v>1.3322946216654734</c:v>
                </c:pt>
                <c:pt idx="2">
                  <c:v>1</c:v>
                </c:pt>
                <c:pt idx="3">
                  <c:v>1</c:v>
                </c:pt>
                <c:pt idx="4">
                  <c:v>0.59631922944616444</c:v>
                </c:pt>
                <c:pt idx="5">
                  <c:v>0.72222222222222232</c:v>
                </c:pt>
                <c:pt idx="6">
                  <c:v>0.8179989944695828</c:v>
                </c:pt>
                <c:pt idx="7">
                  <c:v>1</c:v>
                </c:pt>
                <c:pt idx="8">
                  <c:v>1.717653110626967</c:v>
                </c:pt>
                <c:pt idx="9">
                  <c:v>1.9722222222222221</c:v>
                </c:pt>
                <c:pt idx="10">
                  <c:v>1.9722222222222221</c:v>
                </c:pt>
                <c:pt idx="11">
                  <c:v>0.97076023391812871</c:v>
                </c:pt>
                <c:pt idx="12">
                  <c:v>1</c:v>
                </c:pt>
                <c:pt idx="13">
                  <c:v>0.87833081950729031</c:v>
                </c:pt>
                <c:pt idx="14">
                  <c:v>1</c:v>
                </c:pt>
                <c:pt idx="15">
                  <c:v>1.9722222222222221</c:v>
                </c:pt>
                <c:pt idx="16">
                  <c:v>1.9722222222222221</c:v>
                </c:pt>
                <c:pt idx="17">
                  <c:v>0.99992246399981111</c:v>
                </c:pt>
                <c:pt idx="18">
                  <c:v>1</c:v>
                </c:pt>
                <c:pt idx="19">
                  <c:v>1.9722222222222221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469B-A008-71EB14BACB38}"/>
            </c:ext>
          </c:extLst>
        </c:ser>
        <c:ser>
          <c:idx val="1"/>
          <c:order val="1"/>
          <c:tx>
            <c:strRef>
              <c:f>'KPI Comparison'!$C$1</c:f>
              <c:strCache>
                <c:ptCount val="1"/>
                <c:pt idx="0">
                  <c:v>New KPI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Comparison'!$C$2:$C$21</c:f>
              <c:numCache>
                <c:formatCode>0.0000%</c:formatCode>
                <c:ptCount val="20"/>
                <c:pt idx="0">
                  <c:v>1</c:v>
                </c:pt>
                <c:pt idx="1">
                  <c:v>0.69134075642559678</c:v>
                </c:pt>
                <c:pt idx="2">
                  <c:v>1</c:v>
                </c:pt>
                <c:pt idx="3">
                  <c:v>0.99999234682325944</c:v>
                </c:pt>
                <c:pt idx="4">
                  <c:v>0.54145583965164246</c:v>
                </c:pt>
                <c:pt idx="5">
                  <c:v>0.90599397567358553</c:v>
                </c:pt>
                <c:pt idx="6">
                  <c:v>0.73534809985241989</c:v>
                </c:pt>
                <c:pt idx="7">
                  <c:v>0.99999066458348385</c:v>
                </c:pt>
                <c:pt idx="8">
                  <c:v>0.69312395080019773</c:v>
                </c:pt>
                <c:pt idx="9">
                  <c:v>0.99999192718946228</c:v>
                </c:pt>
                <c:pt idx="10">
                  <c:v>0.99999193080047299</c:v>
                </c:pt>
                <c:pt idx="11">
                  <c:v>0.96918060324206157</c:v>
                </c:pt>
                <c:pt idx="12">
                  <c:v>0.99998455951593024</c:v>
                </c:pt>
                <c:pt idx="13">
                  <c:v>0.88015812975737995</c:v>
                </c:pt>
                <c:pt idx="14">
                  <c:v>0.99999452122042165</c:v>
                </c:pt>
                <c:pt idx="15">
                  <c:v>1</c:v>
                </c:pt>
                <c:pt idx="16">
                  <c:v>0.99999000136174898</c:v>
                </c:pt>
                <c:pt idx="17">
                  <c:v>0.99975473154491334</c:v>
                </c:pt>
                <c:pt idx="18">
                  <c:v>0.99999584660002983</c:v>
                </c:pt>
                <c:pt idx="19">
                  <c:v>0.99999129982037971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1-469B-A008-71EB14BA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517712"/>
        <c:axId val="1237535952"/>
      </c:lineChart>
      <c:catAx>
        <c:axId val="12375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35952"/>
        <c:crosses val="autoZero"/>
        <c:auto val="1"/>
        <c:lblAlgn val="ctr"/>
        <c:lblOffset val="100"/>
        <c:noMultiLvlLbl val="0"/>
      </c:catAx>
      <c:valAx>
        <c:axId val="12375359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57149</xdr:rowOff>
    </xdr:from>
    <xdr:to>
      <xdr:col>16</xdr:col>
      <xdr:colOff>57150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112E1-1FD0-8633-02C0-01066B63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tcomlk-my.sharepoint.com/personal/015897_intranet_slt_com_lk/Documents/Documents/NW%20Eng%20KPI%20Improvement/KPI%202026/New%20KPI%20Calculation_January%202026_New%20Method.xlsx" TargetMode="External"/><Relationship Id="rId1" Type="http://schemas.openxmlformats.org/officeDocument/2006/relationships/externalLinkPath" Target="New%20KPI%20Calculation_January%202026_New%20Metho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tcomlk-my.sharepoint.com/personal/015897_intranet_slt_com_lk/Documents/Documents/NW%20Eng%20KPI%20Improvement/Targets%20and%20Objectives%20%20-%202025%20V1_September%20(003).xlsx" TargetMode="External"/><Relationship Id="rId1" Type="http://schemas.openxmlformats.org/officeDocument/2006/relationships/externalLinkPath" Target="Targets%20and%20Objectives%20%20-%202025%20V1_September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 Calculation"/>
      <sheetName val="Service Assurance Faults"/>
      <sheetName val="OTN Operations"/>
      <sheetName val="Tower Maintenance"/>
      <sheetName val="IP NW Operations"/>
      <sheetName val="Wireline Access NW Op"/>
      <sheetName val="Service Fulfillment"/>
      <sheetName val="Routine Maintenance"/>
      <sheetName val="KPI Comparison"/>
    </sheetNames>
    <sheetDataSet>
      <sheetData sheetId="0"/>
      <sheetData sheetId="1"/>
      <sheetData sheetId="2"/>
      <sheetData sheetId="3"/>
      <sheetData sheetId="4"/>
      <sheetData sheetId="5">
        <row r="5">
          <cell r="G5">
            <v>0.99950000000000006</v>
          </cell>
          <cell r="J5">
            <v>0.99960000000000004</v>
          </cell>
          <cell r="M5">
            <v>0.99950000000000006</v>
          </cell>
          <cell r="N5">
            <v>0.99960000000000004</v>
          </cell>
          <cell r="O5">
            <v>0.99970000000000003</v>
          </cell>
          <cell r="P5">
            <v>0.99960000000000004</v>
          </cell>
          <cell r="Q5">
            <v>0.99960000000000004</v>
          </cell>
          <cell r="R5">
            <v>0.99950000000000006</v>
          </cell>
          <cell r="S5">
            <v>0.99960000000000004</v>
          </cell>
          <cell r="T5">
            <v>0.99970000000000003</v>
          </cell>
          <cell r="U5">
            <v>0.99960000000000004</v>
          </cell>
          <cell r="V5">
            <v>0.99950000000000006</v>
          </cell>
          <cell r="W5">
            <v>0.99960000000000004</v>
          </cell>
          <cell r="X5">
            <v>0.99960000000000004</v>
          </cell>
          <cell r="Y5">
            <v>0.99970000000000003</v>
          </cell>
          <cell r="Z5">
            <v>0.99960000000000004</v>
          </cell>
        </row>
        <row r="11">
          <cell r="G11">
            <v>1</v>
          </cell>
          <cell r="J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20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_NW_NEW FORMAT"/>
      <sheetName val="E_NW"/>
      <sheetName val="INT &amp; NT OP-OK"/>
      <sheetName val="IP NW OP-OK"/>
      <sheetName val="SERVICE FULFILMENT-OK"/>
      <sheetName val="ROUTINE MTNC-ok"/>
      <sheetName val="TOWER MTCE ACIEVEMENT"/>
      <sheetName val="TM Activity Plan"/>
      <sheetName val="BB ANW-ok"/>
      <sheetName val="WNO-OK"/>
      <sheetName val="Service Assurance"/>
      <sheetName val="Service Fulfillment-NE"/>
      <sheetName val="Sheet1"/>
      <sheetName val="Network Availability "/>
    </sheetNames>
    <sheetDataSet>
      <sheetData sheetId="0"/>
      <sheetData sheetId="1">
        <row r="16">
          <cell r="G16">
            <v>0.35</v>
          </cell>
        </row>
        <row r="20">
          <cell r="G20">
            <v>0.71</v>
          </cell>
          <cell r="J20">
            <v>0.71</v>
          </cell>
          <cell r="L20">
            <v>0.4796260637995704</v>
          </cell>
          <cell r="Z20">
            <v>0.61835511982570812</v>
          </cell>
          <cell r="AB20">
            <v>0.71</v>
          </cell>
          <cell r="AD20">
            <v>0.71</v>
          </cell>
          <cell r="AN20">
            <v>0.71</v>
          </cell>
          <cell r="AP20">
            <v>0.71</v>
          </cell>
          <cell r="AV20">
            <v>0.71</v>
          </cell>
        </row>
        <row r="21">
          <cell r="G2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89F-9FAB-4C7C-845E-153E2232396E}">
  <dimension ref="A1:BP39"/>
  <sheetViews>
    <sheetView tabSelected="1" topLeftCell="A2" workbookViewId="0">
      <pane ySplit="2" topLeftCell="A9" activePane="bottomLeft" state="frozen"/>
      <selection activeCell="E2" sqref="E2"/>
      <selection pane="bottomLeft" activeCell="G6" sqref="G6:G27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6" customWidth="1"/>
    <col min="7" max="7" width="11.42578125" customWidth="1"/>
    <col min="8" max="8" width="12" customWidth="1"/>
    <col min="9" max="9" width="12.140625" bestFit="1" customWidth="1"/>
    <col min="10" max="10" width="12.28515625" bestFit="1" customWidth="1"/>
    <col min="11" max="11" width="12.140625" bestFit="1" customWidth="1"/>
    <col min="12" max="12" width="10.140625" bestFit="1" customWidth="1"/>
    <col min="13" max="13" width="12.140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9.28515625" bestFit="1" customWidth="1"/>
    <col min="18" max="18" width="10.140625" bestFit="1" customWidth="1"/>
    <col min="19" max="19" width="11.28515625" bestFit="1" customWidth="1"/>
    <col min="20" max="20" width="10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285156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5703125" bestFit="1" customWidth="1"/>
    <col min="33" max="33" width="10.140625" bestFit="1" customWidth="1"/>
    <col min="34" max="34" width="11.28515625" bestFit="1" customWidth="1"/>
    <col min="35" max="35" width="9.28515625" bestFit="1" customWidth="1"/>
    <col min="36" max="36" width="10.140625" bestFit="1" customWidth="1"/>
    <col min="37" max="37" width="11.28515625" bestFit="1" customWidth="1"/>
    <col min="38" max="38" width="10.28515625" bestFit="1" customWidth="1"/>
    <col min="39" max="39" width="10.140625" bestFit="1" customWidth="1"/>
    <col min="40" max="40" width="12.28515625" bestFit="1" customWidth="1"/>
    <col min="41" max="41" width="9.5703125" bestFit="1" customWidth="1"/>
    <col min="42" max="42" width="10.140625" bestFit="1" customWidth="1"/>
    <col min="43" max="43" width="11.28515625" bestFit="1" customWidth="1"/>
    <col min="44" max="44" width="9.5703125" bestFit="1" customWidth="1"/>
    <col min="45" max="45" width="12.140625" bestFit="1" customWidth="1"/>
    <col min="46" max="46" width="11.28515625" bestFit="1" customWidth="1"/>
    <col min="47" max="47" width="9.5703125" bestFit="1" customWidth="1"/>
    <col min="48" max="48" width="10.140625" bestFit="1" customWidth="1"/>
    <col min="49" max="49" width="12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9.5703125" bestFit="1" customWidth="1"/>
    <col min="57" max="57" width="10.140625" bestFit="1" customWidth="1"/>
    <col min="58" max="58" width="11.28515625" bestFit="1" customWidth="1"/>
    <col min="59" max="59" width="10.28515625" bestFit="1" customWidth="1"/>
    <col min="60" max="60" width="10.140625" bestFit="1" customWidth="1"/>
    <col min="61" max="61" width="11.28515625" bestFit="1" customWidth="1"/>
    <col min="62" max="62" width="9.28515625" bestFit="1" customWidth="1"/>
    <col min="63" max="63" width="10.140625" bestFit="1" customWidth="1"/>
    <col min="64" max="64" width="12.28515625" bestFit="1" customWidth="1"/>
    <col min="65" max="65" width="10.28515625" bestFit="1" customWidth="1"/>
    <col min="66" max="66" width="10.140625" bestFit="1" customWidth="1"/>
    <col min="67" max="67" width="11.28515625" bestFit="1" customWidth="1"/>
    <col min="68" max="68" width="10.28515625" bestFit="1" customWidth="1"/>
  </cols>
  <sheetData>
    <row r="1" spans="1:68" ht="15.75" thickBot="1" x14ac:dyDescent="0.3">
      <c r="I1" s="299" t="s">
        <v>11</v>
      </c>
      <c r="J1" s="300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2"/>
      <c r="W1" s="303"/>
      <c r="X1" s="304" t="s">
        <v>12</v>
      </c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307" t="s">
        <v>13</v>
      </c>
      <c r="AQ1" s="308"/>
      <c r="AR1" s="309"/>
      <c r="AS1" s="309"/>
      <c r="AT1" s="309"/>
      <c r="AU1" s="309"/>
      <c r="AV1" s="309"/>
      <c r="AW1" s="309"/>
      <c r="AX1" s="309"/>
      <c r="AY1" s="309"/>
      <c r="AZ1" s="309"/>
      <c r="BA1" s="309"/>
      <c r="BB1" s="309"/>
      <c r="BC1" s="310"/>
      <c r="BD1" s="311"/>
      <c r="BE1" s="312" t="s">
        <v>14</v>
      </c>
      <c r="BF1" s="313"/>
      <c r="BG1" s="313"/>
      <c r="BH1" s="313"/>
      <c r="BI1" s="313"/>
      <c r="BJ1" s="313"/>
      <c r="BK1" s="313"/>
      <c r="BL1" s="313"/>
      <c r="BM1" s="313"/>
      <c r="BN1" s="313"/>
      <c r="BO1" s="313"/>
      <c r="BP1" s="314"/>
    </row>
    <row r="2" spans="1:68" ht="15.75" thickBot="1" x14ac:dyDescent="0.3">
      <c r="I2" s="315" t="s">
        <v>15</v>
      </c>
      <c r="J2" s="316"/>
      <c r="K2" s="317"/>
      <c r="L2" s="317"/>
      <c r="M2" s="317"/>
      <c r="N2" s="317"/>
      <c r="O2" s="317"/>
      <c r="P2" s="318"/>
      <c r="Q2" s="318"/>
      <c r="R2" s="319" t="s">
        <v>16</v>
      </c>
      <c r="S2" s="320"/>
      <c r="T2" s="321"/>
      <c r="U2" s="321"/>
      <c r="V2" s="322"/>
      <c r="W2" s="323"/>
      <c r="X2" s="324" t="s">
        <v>17</v>
      </c>
      <c r="Y2" s="325"/>
      <c r="Z2" s="325"/>
      <c r="AA2" s="325"/>
      <c r="AB2" s="325"/>
      <c r="AC2" s="326"/>
      <c r="AD2" s="327" t="s">
        <v>18</v>
      </c>
      <c r="AE2" s="328"/>
      <c r="AF2" s="328"/>
      <c r="AG2" s="328"/>
      <c r="AH2" s="328"/>
      <c r="AI2" s="320"/>
      <c r="AJ2" s="322" t="s">
        <v>19</v>
      </c>
      <c r="AK2" s="328"/>
      <c r="AL2" s="328"/>
      <c r="AM2" s="328"/>
      <c r="AN2" s="328"/>
      <c r="AO2" s="329"/>
      <c r="AP2" s="315" t="s">
        <v>20</v>
      </c>
      <c r="AQ2" s="316"/>
      <c r="AR2" s="317"/>
      <c r="AS2" s="317"/>
      <c r="AT2" s="318"/>
      <c r="AU2" s="318"/>
      <c r="AV2" s="327" t="s">
        <v>21</v>
      </c>
      <c r="AW2" s="328"/>
      <c r="AX2" s="328"/>
      <c r="AY2" s="328"/>
      <c r="AZ2" s="328"/>
      <c r="BA2" s="329"/>
      <c r="BB2" s="328" t="s">
        <v>22</v>
      </c>
      <c r="BC2" s="328"/>
      <c r="BD2" s="329"/>
      <c r="BE2" s="330" t="s">
        <v>23</v>
      </c>
      <c r="BF2" s="331"/>
      <c r="BG2" s="332"/>
      <c r="BH2" s="331" t="s">
        <v>24</v>
      </c>
      <c r="BI2" s="331"/>
      <c r="BJ2" s="331"/>
      <c r="BK2" s="331"/>
      <c r="BL2" s="331"/>
      <c r="BM2" s="331"/>
      <c r="BN2" s="331"/>
      <c r="BO2" s="331"/>
      <c r="BP2" s="333"/>
    </row>
    <row r="3" spans="1:68" x14ac:dyDescent="0.25">
      <c r="I3" s="294" t="s">
        <v>25</v>
      </c>
      <c r="J3" s="295"/>
      <c r="K3" s="296"/>
      <c r="L3" s="294" t="s">
        <v>26</v>
      </c>
      <c r="M3" s="295"/>
      <c r="N3" s="296"/>
      <c r="O3" s="296" t="s">
        <v>27</v>
      </c>
      <c r="P3" s="297"/>
      <c r="Q3" s="297"/>
      <c r="R3" s="294" t="s">
        <v>28</v>
      </c>
      <c r="S3" s="295"/>
      <c r="T3" s="296"/>
      <c r="U3" s="296" t="s">
        <v>29</v>
      </c>
      <c r="V3" s="297"/>
      <c r="W3" s="298"/>
      <c r="X3" s="361" t="s">
        <v>30</v>
      </c>
      <c r="Y3" s="362"/>
      <c r="Z3" s="360"/>
      <c r="AA3" s="357" t="s">
        <v>31</v>
      </c>
      <c r="AB3" s="358"/>
      <c r="AC3" s="359"/>
      <c r="AD3" s="338" t="s">
        <v>32</v>
      </c>
      <c r="AE3" s="338"/>
      <c r="AF3" s="337"/>
      <c r="AG3" s="360" t="s">
        <v>33</v>
      </c>
      <c r="AH3" s="360"/>
      <c r="AI3" s="360"/>
      <c r="AJ3" s="296" t="s">
        <v>34</v>
      </c>
      <c r="AK3" s="296"/>
      <c r="AL3" s="296"/>
      <c r="AM3" s="296" t="s">
        <v>35</v>
      </c>
      <c r="AN3" s="297"/>
      <c r="AO3" s="298"/>
      <c r="AP3" s="294" t="s">
        <v>36</v>
      </c>
      <c r="AQ3" s="295"/>
      <c r="AR3" s="296"/>
      <c r="AS3" s="296" t="s">
        <v>37</v>
      </c>
      <c r="AT3" s="297"/>
      <c r="AU3" s="297"/>
      <c r="AV3" s="294" t="s">
        <v>38</v>
      </c>
      <c r="AW3" s="295"/>
      <c r="AX3" s="296"/>
      <c r="AY3" s="296" t="s">
        <v>39</v>
      </c>
      <c r="AZ3" s="297"/>
      <c r="BA3" s="298"/>
      <c r="BB3" s="295" t="s">
        <v>40</v>
      </c>
      <c r="BC3" s="340"/>
      <c r="BD3" s="298"/>
      <c r="BE3" s="341" t="s">
        <v>41</v>
      </c>
      <c r="BF3" s="342"/>
      <c r="BG3" s="336"/>
      <c r="BH3" s="343" t="s">
        <v>42</v>
      </c>
      <c r="BI3" s="343"/>
      <c r="BJ3" s="334"/>
      <c r="BK3" s="334" t="s">
        <v>43</v>
      </c>
      <c r="BL3" s="335"/>
      <c r="BM3" s="336"/>
      <c r="BN3" s="337" t="s">
        <v>44</v>
      </c>
      <c r="BO3" s="338"/>
      <c r="BP3" s="339"/>
    </row>
    <row r="4" spans="1:68" x14ac:dyDescent="0.25">
      <c r="I4" s="344" t="s">
        <v>45</v>
      </c>
      <c r="J4" s="345"/>
      <c r="K4" s="346"/>
      <c r="L4" s="346" t="s">
        <v>46</v>
      </c>
      <c r="M4" s="346"/>
      <c r="N4" s="346"/>
      <c r="O4" s="346" t="s">
        <v>47</v>
      </c>
      <c r="P4" s="347"/>
      <c r="Q4" s="347"/>
      <c r="R4" s="344" t="s">
        <v>48</v>
      </c>
      <c r="S4" s="345"/>
      <c r="T4" s="346"/>
      <c r="U4" s="346" t="s">
        <v>49</v>
      </c>
      <c r="V4" s="347"/>
      <c r="W4" s="348"/>
      <c r="X4" s="349" t="s">
        <v>50</v>
      </c>
      <c r="Y4" s="350"/>
      <c r="Z4" s="351"/>
      <c r="AA4" s="352" t="s">
        <v>51</v>
      </c>
      <c r="AB4" s="353"/>
      <c r="AC4" s="354"/>
      <c r="AD4" s="355" t="s">
        <v>52</v>
      </c>
      <c r="AE4" s="355"/>
      <c r="AF4" s="356"/>
      <c r="AG4" s="351" t="s">
        <v>53</v>
      </c>
      <c r="AH4" s="351"/>
      <c r="AI4" s="351"/>
      <c r="AJ4" s="346" t="s">
        <v>54</v>
      </c>
      <c r="AK4" s="346"/>
      <c r="AL4" s="346"/>
      <c r="AM4" s="346" t="s">
        <v>55</v>
      </c>
      <c r="AN4" s="347"/>
      <c r="AO4" s="348"/>
      <c r="AP4" s="344" t="s">
        <v>56</v>
      </c>
      <c r="AQ4" s="345"/>
      <c r="AR4" s="346"/>
      <c r="AS4" s="346" t="s">
        <v>57</v>
      </c>
      <c r="AT4" s="347"/>
      <c r="AU4" s="347"/>
      <c r="AV4" s="344" t="s">
        <v>58</v>
      </c>
      <c r="AW4" s="345"/>
      <c r="AX4" s="346"/>
      <c r="AY4" s="346" t="s">
        <v>59</v>
      </c>
      <c r="AZ4" s="347"/>
      <c r="BA4" s="348"/>
      <c r="BB4" s="345" t="s">
        <v>60</v>
      </c>
      <c r="BC4" s="365"/>
      <c r="BD4" s="348"/>
      <c r="BE4" s="344" t="s">
        <v>61</v>
      </c>
      <c r="BF4" s="365"/>
      <c r="BG4" s="348"/>
      <c r="BH4" s="345" t="s">
        <v>62</v>
      </c>
      <c r="BI4" s="345"/>
      <c r="BJ4" s="346"/>
      <c r="BK4" s="346" t="s">
        <v>63</v>
      </c>
      <c r="BL4" s="347"/>
      <c r="BM4" s="348"/>
      <c r="BN4" s="350" t="s">
        <v>64</v>
      </c>
      <c r="BO4" s="363"/>
      <c r="BP4" s="364"/>
    </row>
    <row r="5" spans="1:68" ht="45" x14ac:dyDescent="0.25">
      <c r="A5" s="1" t="s">
        <v>264</v>
      </c>
      <c r="B5" s="1" t="s">
        <v>0</v>
      </c>
      <c r="C5" s="1" t="s">
        <v>1</v>
      </c>
      <c r="D5" s="166" t="s">
        <v>266</v>
      </c>
      <c r="E5" s="166" t="s">
        <v>2</v>
      </c>
      <c r="F5" s="1" t="s">
        <v>73</v>
      </c>
      <c r="G5" s="1" t="s">
        <v>160</v>
      </c>
      <c r="H5" s="1" t="s">
        <v>10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  <c r="BN5" s="1" t="s">
        <v>65</v>
      </c>
      <c r="BO5" s="1" t="s">
        <v>66</v>
      </c>
      <c r="BP5" s="1" t="s">
        <v>67</v>
      </c>
    </row>
    <row r="6" spans="1:68" x14ac:dyDescent="0.25">
      <c r="A6" s="2">
        <v>1</v>
      </c>
      <c r="B6" s="2" t="s">
        <v>3</v>
      </c>
      <c r="C6" s="2" t="s">
        <v>4</v>
      </c>
      <c r="D6" s="200" t="s">
        <v>267</v>
      </c>
      <c r="E6" s="174" t="s">
        <v>5</v>
      </c>
      <c r="F6" s="175" t="s">
        <v>218</v>
      </c>
      <c r="G6" s="423">
        <f>H6/$H$31</f>
        <v>8.8888888888888892E-2</v>
      </c>
      <c r="H6" s="76">
        <v>8000</v>
      </c>
      <c r="I6" s="180">
        <f>'OTN Operations'!G13</f>
        <v>1</v>
      </c>
      <c r="J6" s="181">
        <f>$H$6/20</f>
        <v>400</v>
      </c>
      <c r="K6" s="167">
        <f>IF('OTN Operations'!G14=0,'KPI Calculation'!$J$6,IF(I6&gt;0.85,J6,J6*I6/0.85))</f>
        <v>400</v>
      </c>
      <c r="L6" s="180">
        <f>'OTN Operations'!H13</f>
        <v>1</v>
      </c>
      <c r="M6" s="181">
        <f>$H$6/20</f>
        <v>400</v>
      </c>
      <c r="N6" s="167">
        <f>IF('OTN Operations'!H14=0,M6,IF(L6&gt;0.85,M6,M6*L6/0.85))</f>
        <v>400</v>
      </c>
      <c r="O6" s="180">
        <f>'OTN Operations'!L13</f>
        <v>1</v>
      </c>
      <c r="P6" s="181">
        <f>$H$6/20</f>
        <v>400</v>
      </c>
      <c r="Q6" s="167">
        <f>IF('OTN Operations'!L14=0,'KPI Calculation'!P6,IF(O6&gt;0.85,P6,P6*O6/0.85))</f>
        <v>400</v>
      </c>
      <c r="R6" s="180">
        <f>'OTN Operations'!J13</f>
        <v>0.5</v>
      </c>
      <c r="S6" s="181">
        <f>$H$6/20</f>
        <v>400</v>
      </c>
      <c r="T6" s="167">
        <f>IF('OTN Operations'!J14=0,'KPI Calculation'!S6,IF(R6&gt;0.85,S6,S6*R6/0.85))</f>
        <v>235.29411764705884</v>
      </c>
      <c r="U6" s="180">
        <f>'OTN Operations'!K13</f>
        <v>0</v>
      </c>
      <c r="V6" s="181">
        <f>$H$6/20</f>
        <v>400</v>
      </c>
      <c r="W6" s="167">
        <f>IF('OTN Operations'!K14=0,'KPI Calculation'!V6,IF(U6&gt;0.85,V6,V6*U6/0.85))</f>
        <v>0</v>
      </c>
      <c r="X6" s="180">
        <f>'OTN Operations'!M13</f>
        <v>0.75</v>
      </c>
      <c r="Y6" s="181">
        <f>$H$6/20</f>
        <v>400</v>
      </c>
      <c r="Z6" s="167">
        <f>IF('OTN Operations'!M14=0,'KPI Calculation'!Y6,IF(X6&gt;0.85,Y6,Y6*X6/0.85))</f>
        <v>352.94117647058823</v>
      </c>
      <c r="AA6" s="180">
        <f>'OTN Operations'!I13</f>
        <v>0.14285714285714285</v>
      </c>
      <c r="AB6" s="181">
        <f>$H$6/20</f>
        <v>400</v>
      </c>
      <c r="AC6" s="167">
        <f>IF('OTN Operations'!I14=0,'KPI Calculation'!AB6,IF(AA6&gt;0.85,AB6,AB6*AA6/0.85))</f>
        <v>67.226890756302524</v>
      </c>
      <c r="AD6" s="180">
        <f>'OTN Operations'!N13</f>
        <v>1</v>
      </c>
      <c r="AE6" s="181">
        <f>$H$6/20</f>
        <v>400</v>
      </c>
      <c r="AF6" s="167">
        <f>IF('OTN Operations'!N14=0,'KPI Calculation'!AE6,IF(AD6&gt;0.85,AE6,AE6*AD6/0.85))</f>
        <v>400</v>
      </c>
      <c r="AG6" s="180">
        <f>'OTN Operations'!O13</f>
        <v>0.8</v>
      </c>
      <c r="AH6" s="181">
        <f>$H$6/20</f>
        <v>400</v>
      </c>
      <c r="AI6" s="167">
        <f>IF('OTN Operations'!O14=0,'KPI Calculation'!AH6,IF(AG6&gt;0.85,AH6,AH6*AG6/0.85))</f>
        <v>376.47058823529414</v>
      </c>
      <c r="AJ6" s="180">
        <f>'OTN Operations'!P13</f>
        <v>1</v>
      </c>
      <c r="AK6" s="181">
        <f>$H$6/20</f>
        <v>400</v>
      </c>
      <c r="AL6" s="167">
        <f>IF('OTN Operations'!P14=0,'KPI Calculation'!AK6,IF(AJ6&gt;0.85,AK6,AK6*AJ6/0.85))</f>
        <v>400</v>
      </c>
      <c r="AM6" s="180">
        <f>'OTN Operations'!Q13</f>
        <v>0.9464285714285714</v>
      </c>
      <c r="AN6" s="181">
        <f>$H$6/20</f>
        <v>400</v>
      </c>
      <c r="AO6" s="167">
        <f>IF('OTN Operations'!Q14=0,'KPI Calculation'!AN6,IF(AM6&gt;0.85,AN6,AN6*AM6/0.85))</f>
        <v>400</v>
      </c>
      <c r="AP6" s="180">
        <f>'OTN Operations'!S13</f>
        <v>1</v>
      </c>
      <c r="AQ6" s="181">
        <f>$H$6/20</f>
        <v>400</v>
      </c>
      <c r="AR6" s="167">
        <f>IF('OTN Operations'!S14=0,'KPI Calculation'!AQ6,IF(AP6&gt;0.85,AQ6,AQ6*AP6/0.85))</f>
        <v>400</v>
      </c>
      <c r="AS6" s="180">
        <f>'OTN Operations'!T13</f>
        <v>1</v>
      </c>
      <c r="AT6" s="181">
        <f>$H$6/20</f>
        <v>400</v>
      </c>
      <c r="AU6" s="167">
        <f>IF('OTN Operations'!T14=0,'KPI Calculation'!AT6,IF(AS6&gt;0.85,AT6,AT6*AS6/0.85))</f>
        <v>400</v>
      </c>
      <c r="AV6" s="180">
        <f>'OTN Operations'!U13</f>
        <v>0.25</v>
      </c>
      <c r="AW6" s="181">
        <f>$H$6/20</f>
        <v>400</v>
      </c>
      <c r="AX6" s="167">
        <f>IF('OTN Operations'!U14=0,'KPI Calculation'!AW6,IF(AW6&gt;0.85,AW6,AW6*AV6/0.85))</f>
        <v>400</v>
      </c>
      <c r="AY6" s="180">
        <f>'OTN Operations'!V13</f>
        <v>1</v>
      </c>
      <c r="AZ6" s="181">
        <f>$H$6/20</f>
        <v>400</v>
      </c>
      <c r="BA6" s="167">
        <f>IF('OTN Operations'!V14=0,'KPI Calculation'!AZ6,IF(AY6&gt;0.85,AZ6,AZ6*AY6/0.85))</f>
        <v>400</v>
      </c>
      <c r="BB6" s="180">
        <f>'OTN Operations'!W13</f>
        <v>1</v>
      </c>
      <c r="BC6" s="181">
        <f>$H$6/20</f>
        <v>400</v>
      </c>
      <c r="BD6" s="167">
        <f>IF('OTN Operations'!W14=0,'KPI Calculation'!BC6,IF(BB6&gt;0.85,BC6,BC6*BB6/0.85))</f>
        <v>400</v>
      </c>
      <c r="BE6" s="180">
        <f>'OTN Operations'!X13</f>
        <v>1</v>
      </c>
      <c r="BF6" s="181">
        <f>$H$6/20</f>
        <v>400</v>
      </c>
      <c r="BG6" s="167">
        <f>IF('OTN Operations'!X14=0,'KPI Calculation'!BF6,IF(BE6&gt;0.85,BF6,BF6*BE6/0.85))</f>
        <v>400</v>
      </c>
      <c r="BH6" s="180">
        <f>'OTN Operations'!Y13</f>
        <v>0.8571428571428571</v>
      </c>
      <c r="BI6" s="181">
        <f>$H$6/20</f>
        <v>400</v>
      </c>
      <c r="BJ6" s="167">
        <f>IF('OTN Operations'!Y14=0,'KPI Calculation'!BI6,IF(BH6&gt;0.85,BI6,BI6*BH6/0.85))</f>
        <v>400</v>
      </c>
      <c r="BK6" s="180">
        <f>'OTN Operations'!Z13</f>
        <v>1</v>
      </c>
      <c r="BL6" s="181">
        <f>$H$6/20</f>
        <v>400</v>
      </c>
      <c r="BM6" s="167">
        <f>IF('OTN Operations'!Z14=0,'KPI Calculation'!BL6,IF(BK6&gt;0.85,BL6,BL6*BK6/0.85))</f>
        <v>400</v>
      </c>
      <c r="BN6" s="180">
        <f>'OTN Operations'!R13</f>
        <v>0.52941176470588236</v>
      </c>
      <c r="BO6" s="181">
        <f>$H$6/20</f>
        <v>400</v>
      </c>
      <c r="BP6" s="167">
        <f>IF('OTN Operations'!R14=0,'KPI Calculation'!BO6,IF(BN6&gt;0.85,BO6,BO6*BN6/0.85))</f>
        <v>249.13494809688584</v>
      </c>
    </row>
    <row r="7" spans="1:68" ht="27" x14ac:dyDescent="0.25">
      <c r="A7" s="2">
        <v>2</v>
      </c>
      <c r="B7" s="2" t="s">
        <v>3</v>
      </c>
      <c r="C7" s="2" t="s">
        <v>4</v>
      </c>
      <c r="D7" s="200" t="s">
        <v>267</v>
      </c>
      <c r="E7" s="174" t="s">
        <v>6</v>
      </c>
      <c r="F7" s="175" t="s">
        <v>219</v>
      </c>
      <c r="G7" s="423">
        <f>H7/$H$31</f>
        <v>4.4444444444444446E-2</v>
      </c>
      <c r="H7" s="76">
        <v>4000</v>
      </c>
      <c r="I7" s="180">
        <f>'OTN Operations'!G16</f>
        <v>1</v>
      </c>
      <c r="J7" s="181">
        <f>$H$7/20</f>
        <v>200</v>
      </c>
      <c r="K7" s="167">
        <f>IF('OTN Operations'!G17=0,'KPI Calculation'!J7,(IF(I7&gt;0.8,J7,J7*I7/0.8)))</f>
        <v>200</v>
      </c>
      <c r="L7" s="180">
        <f>'OTN Operations'!H16</f>
        <v>1</v>
      </c>
      <c r="M7" s="181">
        <f>$H$7/20</f>
        <v>200</v>
      </c>
      <c r="N7" s="167">
        <f>IF('OTN Operations'!H17=0,'KPI Calculation'!M7,(IF(L7&gt;0.8,M7,M7*L7/0.8)))</f>
        <v>200</v>
      </c>
      <c r="O7" s="180">
        <f>'OTN Operations'!L16</f>
        <v>1</v>
      </c>
      <c r="P7" s="181">
        <f>$H$7/20</f>
        <v>200</v>
      </c>
      <c r="Q7" s="167">
        <f>IF('OTN Operations'!L17=0,'KPI Calculation'!P7,(IF(O7&gt;0.8,P7,P7*O7/0.8)))</f>
        <v>200</v>
      </c>
      <c r="R7" s="180">
        <f>'OTN Operations'!J16</f>
        <v>1</v>
      </c>
      <c r="S7" s="181">
        <f>$H$7/20</f>
        <v>200</v>
      </c>
      <c r="T7" s="167">
        <f>IF('OTN Operations'!J17=0,'KPI Calculation'!S7,(IF(R7&gt;0.8,S7,S7*R7/0.8)))</f>
        <v>200</v>
      </c>
      <c r="U7" s="180">
        <f>'OTN Operations'!K16</f>
        <v>0</v>
      </c>
      <c r="V7" s="181">
        <f>$H$7/20</f>
        <v>200</v>
      </c>
      <c r="W7" s="167">
        <f>IF('OTN Operations'!K17=0,'KPI Calculation'!V7,(IF(U7&gt;0.8,V7,V7*U7/0.8)))</f>
        <v>0</v>
      </c>
      <c r="X7" s="180">
        <f>'OTN Operations'!M16</f>
        <v>1</v>
      </c>
      <c r="Y7" s="181">
        <f>$H$7/20</f>
        <v>200</v>
      </c>
      <c r="Z7" s="167">
        <f>IF('OTN Operations'!M17=0,'KPI Calculation'!Y7,(IF(X7&gt;0.8,Y7,Y7*X7/0.8)))</f>
        <v>200</v>
      </c>
      <c r="AA7" s="180">
        <f>'OTN Operations'!I16</f>
        <v>1</v>
      </c>
      <c r="AB7" s="181">
        <f>$H$7/20</f>
        <v>200</v>
      </c>
      <c r="AC7" s="167">
        <f>IF('OTN Operations'!I17=0,'KPI Calculation'!AB7,(IF(AA7&gt;0.8,AB7,AB7*AA7/0.8)))</f>
        <v>200</v>
      </c>
      <c r="AD7" s="180">
        <f>'OTN Operations'!N16</f>
        <v>1</v>
      </c>
      <c r="AE7" s="181">
        <f>$H$7/20</f>
        <v>200</v>
      </c>
      <c r="AF7" s="167">
        <f>IF('OTN Operations'!N17=0,'KPI Calculation'!AE7,(IF(AD7&gt;0.8,AE7,AE7*AD7/0.8)))</f>
        <v>200</v>
      </c>
      <c r="AG7" s="180">
        <f>'OTN Operations'!O16</f>
        <v>1</v>
      </c>
      <c r="AH7" s="181">
        <f>$H$7/20</f>
        <v>200</v>
      </c>
      <c r="AI7" s="167">
        <f>IF('OTN Operations'!O17=0,'KPI Calculation'!AH7,(IF(AG7&gt;0.8,AH7,AH7*AG7/0.8)))</f>
        <v>200</v>
      </c>
      <c r="AJ7" s="180">
        <f>'OTN Operations'!P16</f>
        <v>0.9</v>
      </c>
      <c r="AK7" s="181">
        <f>$H$7/20</f>
        <v>200</v>
      </c>
      <c r="AL7" s="167">
        <f>IF('OTN Operations'!P17=0,'KPI Calculation'!AK7,(IF(AJ7&gt;0.8,AK7,AK7*AJ7/0.8)))</f>
        <v>200</v>
      </c>
      <c r="AM7" s="180">
        <f>'OTN Operations'!Q16</f>
        <v>0.83333333333333337</v>
      </c>
      <c r="AN7" s="181">
        <v>181.5</v>
      </c>
      <c r="AO7" s="167">
        <f>IF('OTN Operations'!Q17=0,'KPI Calculation'!AN7,(IF(AM7&gt;0.8,AN7,AN7*AM7/0.8)))</f>
        <v>181.5</v>
      </c>
      <c r="AP7" s="180">
        <f>'OTN Operations'!S16</f>
        <v>1</v>
      </c>
      <c r="AQ7" s="181">
        <f>$H$7/20</f>
        <v>200</v>
      </c>
      <c r="AR7" s="167">
        <f>IF('OTN Operations'!S17=0,'KPI Calculation'!AQ7,(IF(AP7&gt;0.8,AQ7,AQ7*AP7/0.8)))</f>
        <v>200</v>
      </c>
      <c r="AS7" s="180">
        <f>'OTN Operations'!T16</f>
        <v>0.8214285714285714</v>
      </c>
      <c r="AT7" s="181">
        <f>$H$7/20</f>
        <v>200</v>
      </c>
      <c r="AU7" s="167">
        <f>IF('OTN Operations'!T17=0,'KPI Calculation'!AT7,(IF(AS7&gt;0.8,AT7,AT7*AS7/0.8)))</f>
        <v>200</v>
      </c>
      <c r="AV7" s="180">
        <f>'OTN Operations'!U16</f>
        <v>0</v>
      </c>
      <c r="AW7" s="181">
        <f>$H$7/20</f>
        <v>200</v>
      </c>
      <c r="AX7" s="167">
        <f>IF('OTN Operations'!U17=0,'KPI Calculation'!AW7,(IF(AV7&gt;0.8,AW7,AW7*AV7/0.8)))</f>
        <v>0</v>
      </c>
      <c r="AY7" s="180">
        <f>'OTN Operations'!V16</f>
        <v>1</v>
      </c>
      <c r="AZ7" s="181">
        <f>$H$7/20</f>
        <v>200</v>
      </c>
      <c r="BA7" s="167">
        <f>IF('OTN Operations'!V17=0,'KPI Calculation'!AZ7,(IF(AY7&gt;0.8,AZ7,AZ7*AY7/0.8)))</f>
        <v>200</v>
      </c>
      <c r="BB7" s="180">
        <f>'OTN Operations'!W16</f>
        <v>0.875</v>
      </c>
      <c r="BC7" s="181">
        <f>$H$7/20</f>
        <v>200</v>
      </c>
      <c r="BD7" s="167">
        <f>IF('OTN Operations'!W17=0,'KPI Calculation'!BC7,(IF(BB7&gt;0.8,BC7,BC7*BB7/0.8)))</f>
        <v>200</v>
      </c>
      <c r="BE7" s="180">
        <f>'OTN Operations'!X16</f>
        <v>1</v>
      </c>
      <c r="BF7" s="181">
        <f>$H$7/20</f>
        <v>200</v>
      </c>
      <c r="BG7" s="167">
        <f>IF('OTN Operations'!X17=0,'KPI Calculation'!BF7,(IF(BE7&gt;0.8,BF7,BF7*BE7/0.8)))</f>
        <v>200</v>
      </c>
      <c r="BH7" s="180">
        <f>'OTN Operations'!Y16</f>
        <v>1</v>
      </c>
      <c r="BI7" s="181">
        <f>$H$7/20</f>
        <v>200</v>
      </c>
      <c r="BJ7" s="167">
        <f>IF('OTN Operations'!Y17=0,'KPI Calculation'!BI7,(IF(BH7&gt;0.8,BI7,BI7*BH7/0.8)))</f>
        <v>200</v>
      </c>
      <c r="BK7" s="180">
        <f>'OTN Operations'!Z16</f>
        <v>0.8</v>
      </c>
      <c r="BL7" s="181">
        <f>$H$7/20</f>
        <v>200</v>
      </c>
      <c r="BM7" s="167">
        <f>IF('OTN Operations'!Z17=0,'KPI Calculation'!BL7,(IF(BK7&gt;0.8,BL7,BL7*BK7/0.8)))</f>
        <v>200</v>
      </c>
      <c r="BN7" s="180">
        <f>'OTN Operations'!R16</f>
        <v>1</v>
      </c>
      <c r="BO7" s="181">
        <f>$H$7/20</f>
        <v>200</v>
      </c>
      <c r="BP7" s="167">
        <f>IF('OTN Operations'!R17=0,'KPI Calculation'!BO7,(IF(BN7&gt;0.8,BO7,BO7*BN7/0.8)))</f>
        <v>200</v>
      </c>
    </row>
    <row r="8" spans="1:68" x14ac:dyDescent="0.25">
      <c r="A8" s="189">
        <v>3</v>
      </c>
      <c r="B8" s="2" t="s">
        <v>3</v>
      </c>
      <c r="C8" s="2" t="s">
        <v>4</v>
      </c>
      <c r="D8" s="200" t="s">
        <v>268</v>
      </c>
      <c r="E8" s="174" t="s">
        <v>244</v>
      </c>
      <c r="F8" s="175" t="s">
        <v>76</v>
      </c>
      <c r="G8" s="423">
        <f>H8/$H$31</f>
        <v>0.02</v>
      </c>
      <c r="H8" s="76">
        <v>1800</v>
      </c>
      <c r="I8" s="180">
        <f>'OTN Operations'!G5</f>
        <v>1</v>
      </c>
      <c r="J8" s="181">
        <f>$H$8*'OTN Operations'!G8/'OTN Operations'!$AA$8</f>
        <v>49.315068493150683</v>
      </c>
      <c r="K8" s="167">
        <f>IF(I8&gt;0.99999,J8,J8*I8/0.99999)</f>
        <v>49.315068493150683</v>
      </c>
      <c r="L8" s="180">
        <f>'OTN Operations'!H5</f>
        <v>1</v>
      </c>
      <c r="M8" s="181">
        <f>$H$8*'OTN Operations'!H8/'OTN Operations'!$AA$8</f>
        <v>73.972602739726028</v>
      </c>
      <c r="N8" s="167">
        <f>IF(L8&gt;0.99999,M8,M8*L8/0.99999)</f>
        <v>73.972602739726028</v>
      </c>
      <c r="O8" s="180">
        <f>'OTN Operations'!L5</f>
        <v>1</v>
      </c>
      <c r="P8" s="181">
        <f>$H$8*'OTN Operations'!L8/'OTN Operations'!$AA$8</f>
        <v>98.630136986301366</v>
      </c>
      <c r="Q8" s="167">
        <f>IF(O8&gt;0.99999,P8,P8*O8/0.99999)</f>
        <v>98.630136986301366</v>
      </c>
      <c r="R8" s="180">
        <f>'OTN Operations'!J5</f>
        <v>1</v>
      </c>
      <c r="S8" s="181">
        <f>$H$8*'OTN Operations'!J8/'OTN Operations'!$AA$8</f>
        <v>123.28767123287672</v>
      </c>
      <c r="T8" s="167">
        <f>IF(R8&gt;0.99999,S8,S8*R8/0.99999)</f>
        <v>123.28767123287672</v>
      </c>
      <c r="U8" s="180">
        <f>'OTN Operations'!K5</f>
        <v>1</v>
      </c>
      <c r="V8" s="181">
        <f>$H$8*'OTN Operations'!K8/'OTN Operations'!$AA$8</f>
        <v>73.972602739726028</v>
      </c>
      <c r="W8" s="167">
        <f>IF(U8&gt;0.99999,V8,V8*U8/0.99999)</f>
        <v>73.972602739726028</v>
      </c>
      <c r="X8" s="180">
        <f>'OTN Operations'!M5</f>
        <v>1</v>
      </c>
      <c r="Y8" s="181">
        <f>$H$8*'OTN Operations'!M8/'OTN Operations'!$AA$8</f>
        <v>147.94520547945206</v>
      </c>
      <c r="Z8" s="167">
        <f>IF(X8&gt;0.99999,Y8,Y8*X8/0.99999)</f>
        <v>147.94520547945206</v>
      </c>
      <c r="AA8" s="180">
        <f>'OTN Operations'!I5</f>
        <v>1</v>
      </c>
      <c r="AB8" s="181">
        <f>$H$8*'OTN Operations'!I16/'OTN Operations'!$AA$14</f>
        <v>11.111111111111111</v>
      </c>
      <c r="AC8" s="167">
        <f>IF(AA8&gt;0.99999,AB8,AB8*AA8/0.99999)</f>
        <v>11.111111111111111</v>
      </c>
      <c r="AD8" s="180">
        <f>'OTN Operations'!N5</f>
        <v>1</v>
      </c>
      <c r="AE8" s="181">
        <f>$H$8*'OTN Operations'!N8/'OTN Operations'!$AA$8</f>
        <v>49.315068493150683</v>
      </c>
      <c r="AF8" s="167">
        <f>IF(AD8&gt;0.99999,AE8,AE8*AD8/0.99999)</f>
        <v>49.315068493150683</v>
      </c>
      <c r="AG8" s="180">
        <f>'OTN Operations'!O5</f>
        <v>1</v>
      </c>
      <c r="AH8" s="181">
        <f>$H$8*'OTN Operations'!O8/'OTN Operations'!$AA$8</f>
        <v>24.657534246575342</v>
      </c>
      <c r="AI8" s="167">
        <f>IF(AG8&gt;0.99999,AH8,AH8*AG8/0.99999)</f>
        <v>24.657534246575342</v>
      </c>
      <c r="AJ8" s="180">
        <f>'OTN Operations'!P5</f>
        <v>1</v>
      </c>
      <c r="AK8" s="181">
        <f>$H$8*'OTN Operations'!P8/'OTN Operations'!$AA$8</f>
        <v>73.972602739726028</v>
      </c>
      <c r="AL8" s="167">
        <f>IF(AJ8&gt;0.99999,AK8,AK8*AJ8/0.99999)</f>
        <v>73.972602739726028</v>
      </c>
      <c r="AM8" s="180">
        <f>'OTN Operations'!Q5</f>
        <v>1</v>
      </c>
      <c r="AN8" s="181">
        <f>$H$8*'OTN Operations'!Q8/'OTN Operations'!$AA$8</f>
        <v>73.972602739726028</v>
      </c>
      <c r="AO8" s="167">
        <f>IF(AM8&gt;0.99999,AN8,AN8*AM8/0.99999)</f>
        <v>73.972602739726028</v>
      </c>
      <c r="AP8" s="180">
        <f>'OTN Operations'!S5</f>
        <v>1</v>
      </c>
      <c r="AQ8" s="181">
        <f>$H$8*'OTN Operations'!S8/'OTN Operations'!$AA$8</f>
        <v>73.972602739726028</v>
      </c>
      <c r="AR8" s="167">
        <f>IF(AP8&gt;0.99999,AQ8,AQ8*AP8/0.99999)</f>
        <v>73.972602739726028</v>
      </c>
      <c r="AS8" s="180">
        <f>'OTN Operations'!T5</f>
        <v>1</v>
      </c>
      <c r="AT8" s="181">
        <f>$H$8*'OTN Operations'!T8/'OTN Operations'!$AA$8</f>
        <v>147.94520547945206</v>
      </c>
      <c r="AU8" s="167">
        <f>IF(AS8&gt;0.99999,AT8,AT8*AS8/0.99999)</f>
        <v>147.94520547945206</v>
      </c>
      <c r="AV8" s="180">
        <f>'OTN Operations'!U5</f>
        <v>1</v>
      </c>
      <c r="AW8" s="181">
        <f>$H$8*'OTN Operations'!U8/'OTN Operations'!$AA$8</f>
        <v>98.630136986301366</v>
      </c>
      <c r="AX8" s="167">
        <f>IF(AV8&gt;0.99999,AW8,AW8*AV8/0.99999)</f>
        <v>98.630136986301366</v>
      </c>
      <c r="AY8" s="180">
        <f>'OTN Operations'!V5</f>
        <v>1</v>
      </c>
      <c r="AZ8" s="181">
        <f>$H$8*'OTN Operations'!V8/'OTN Operations'!$AA$8</f>
        <v>49.315068493150683</v>
      </c>
      <c r="BA8" s="167">
        <f>IF(AY8&gt;0.99999,AZ8,AZ8*AY8/0.99999)</f>
        <v>49.315068493150683</v>
      </c>
      <c r="BB8" s="180">
        <f>'OTN Operations'!W5</f>
        <v>1</v>
      </c>
      <c r="BC8" s="181">
        <f>$H$8*'OTN Operations'!W8/'OTN Operations'!$AA$8</f>
        <v>73.972602739726028</v>
      </c>
      <c r="BD8" s="167">
        <f>IF(BB8&gt;0.99999,BC8,BC8*BB8/0.99999)</f>
        <v>73.972602739726028</v>
      </c>
      <c r="BE8" s="180">
        <f>'OTN Operations'!X5</f>
        <v>1</v>
      </c>
      <c r="BF8" s="181">
        <f>$H$8*'OTN Operations'!X8/'OTN Operations'!$AA$8</f>
        <v>147.94520547945206</v>
      </c>
      <c r="BG8" s="167">
        <f>IF(BE8&gt;0.99999,BF8,BF8*BE8/0.99999)</f>
        <v>147.94520547945206</v>
      </c>
      <c r="BH8" s="180">
        <f>'OTN Operations'!Y5</f>
        <v>1</v>
      </c>
      <c r="BI8" s="181">
        <f>$H$8*'OTN Operations'!Y8/'OTN Operations'!$AA$8</f>
        <v>24.657534246575342</v>
      </c>
      <c r="BJ8" s="167">
        <f>IF(BH8&gt;0.99999,BI8,BI8*BH8/0.99999)</f>
        <v>24.657534246575342</v>
      </c>
      <c r="BK8" s="180">
        <f>'OTN Operations'!Z5</f>
        <v>1</v>
      </c>
      <c r="BL8" s="181">
        <f>$H$8*'OTN Operations'!Z8/'OTN Operations'!$AA$8</f>
        <v>147.94520547945206</v>
      </c>
      <c r="BM8" s="167">
        <f>IF(BK8&gt;0.99999,BL8,BL8*BK8/0.99999)</f>
        <v>147.94520547945206</v>
      </c>
      <c r="BN8" s="180">
        <f>'OTN Operations'!R5</f>
        <v>1</v>
      </c>
      <c r="BO8" s="181">
        <f>$H$8*'OTN Operations'!R8/'OTN Operations'!$AA$8</f>
        <v>147.94520547945206</v>
      </c>
      <c r="BP8" s="167">
        <f>IF(BN8&gt;0.99999,BO8,BO8*BN8/0.99999)</f>
        <v>147.94520547945206</v>
      </c>
    </row>
    <row r="9" spans="1:68" x14ac:dyDescent="0.25">
      <c r="A9" s="189">
        <v>4</v>
      </c>
      <c r="B9" s="2" t="s">
        <v>3</v>
      </c>
      <c r="C9" s="2" t="s">
        <v>4</v>
      </c>
      <c r="D9" s="200" t="s">
        <v>268</v>
      </c>
      <c r="E9" s="174" t="s">
        <v>247</v>
      </c>
      <c r="F9" s="175" t="s">
        <v>76</v>
      </c>
      <c r="G9" s="423">
        <f>H9/$H$31</f>
        <v>0.02</v>
      </c>
      <c r="H9" s="76">
        <v>1800</v>
      </c>
      <c r="I9" s="180">
        <f>'IP NW Operations'!G6</f>
        <v>1</v>
      </c>
      <c r="J9" s="181">
        <f>$H$9*'IP NW Operations'!G9/'IP NW Operations'!AA9</f>
        <v>600</v>
      </c>
      <c r="K9" s="167">
        <f>IF(I9&gt;0.99999,J9,J9*I9/0.99999)</f>
        <v>600</v>
      </c>
      <c r="L9" s="180">
        <f>'IP NW Operations'!H6</f>
        <v>1</v>
      </c>
      <c r="M9" s="181">
        <f>$H$9*'IP NW Operations'!H9/'IP NW Operations'!$AA$9</f>
        <v>0</v>
      </c>
      <c r="N9" s="167">
        <f>IF(L9&gt;0.99999,M9,M9*L9/0.99999)</f>
        <v>0</v>
      </c>
      <c r="O9" s="180">
        <f>'IP NW Operations'!L6</f>
        <v>1</v>
      </c>
      <c r="P9" s="181">
        <f>$H$9*'IP NW Operations'!L9/'IP NW Operations'!$AA$9</f>
        <v>0</v>
      </c>
      <c r="Q9" s="167">
        <f>IF(O9&gt;0.99999,P9,P9*O9/0.99999)</f>
        <v>0</v>
      </c>
      <c r="R9" s="180">
        <f>'IP NW Operations'!J6</f>
        <v>1</v>
      </c>
      <c r="S9" s="181">
        <f>$H$9*'IP NW Operations'!J9/'IP NW Operations'!$AA$9</f>
        <v>0</v>
      </c>
      <c r="T9" s="167">
        <f>IF(R9&gt;0.99999,S9,S9*R9/0.99999)</f>
        <v>0</v>
      </c>
      <c r="U9" s="180">
        <f>'IP NW Operations'!K6</f>
        <v>1</v>
      </c>
      <c r="V9" s="181">
        <f>$H$9*'IP NW Operations'!K9/'IP NW Operations'!$AA$9</f>
        <v>0</v>
      </c>
      <c r="W9" s="167">
        <f>IF(U9&gt;0.99999,V9,V9*U9/0.99999)</f>
        <v>0</v>
      </c>
      <c r="X9" s="180">
        <f>'IP NW Operations'!M6</f>
        <v>1</v>
      </c>
      <c r="Y9" s="181">
        <f>$H$9*'IP NW Operations'!M9/'IP NW Operations'!$AA$9</f>
        <v>0</v>
      </c>
      <c r="Z9" s="167">
        <f>IF(X9&gt;0.99999,Y9,Y9*X9/0.99999)</f>
        <v>0</v>
      </c>
      <c r="AA9" s="180">
        <f>'IP NW Operations'!I6</f>
        <v>1</v>
      </c>
      <c r="AB9" s="181">
        <f>$H$9*'IP NW Operations'!I9/'IP NW Operations'!$AA$9</f>
        <v>0</v>
      </c>
      <c r="AC9" s="167">
        <f>IF(AA9&gt;0.99999,AB9,AB9*AA9/0.99999)</f>
        <v>0</v>
      </c>
      <c r="AD9" s="180">
        <f>'IP NW Operations'!N6</f>
        <v>1</v>
      </c>
      <c r="AE9" s="181">
        <f>$H$9*'IP NW Operations'!N9/'IP NW Operations'!$AA$9</f>
        <v>300</v>
      </c>
      <c r="AF9" s="167">
        <f>IF(AD9&gt;0.99999,AE9,AE9*AD9/0.99999)</f>
        <v>300</v>
      </c>
      <c r="AG9" s="180">
        <f>'IP NW Operations'!O6</f>
        <v>1</v>
      </c>
      <c r="AH9" s="181">
        <f>$H$9*'IP NW Operations'!O9/'IP NW Operations'!$AA$9</f>
        <v>0</v>
      </c>
      <c r="AI9" s="167">
        <f>IF(AG9&gt;0.99999,AH9,AH9*AG9/0.99999)</f>
        <v>0</v>
      </c>
      <c r="AJ9" s="180">
        <f>'IP NW Operations'!P6</f>
        <v>1</v>
      </c>
      <c r="AK9" s="181">
        <f>$H$9*'IP NW Operations'!P9/'IP NW Operations'!$AA$9</f>
        <v>300</v>
      </c>
      <c r="AL9" s="167">
        <f>IF(AJ9&gt;0.99999,AK9,AK9*AJ9/0.99999)</f>
        <v>300</v>
      </c>
      <c r="AM9" s="180">
        <f>'IP NW Operations'!Q6</f>
        <v>1</v>
      </c>
      <c r="AN9" s="181">
        <f>$H$9*'IP NW Operations'!Q9/'IP NW Operations'!$AA$9</f>
        <v>0</v>
      </c>
      <c r="AO9" s="167">
        <f>IF(AM9&gt;0.99999,AN9,AN9*AM9/0.99999)</f>
        <v>0</v>
      </c>
      <c r="AP9" s="180">
        <f>'IP NW Operations'!S6</f>
        <v>1</v>
      </c>
      <c r="AQ9" s="181">
        <f>$H$9*'IP NW Operations'!S9/'IP NW Operations'!$AA$9</f>
        <v>0</v>
      </c>
      <c r="AR9" s="167">
        <f>IF(AP9&gt;0.99999,AQ9,AQ9*AP9/0.99999)</f>
        <v>0</v>
      </c>
      <c r="AS9" s="180">
        <f>'IP NW Operations'!T6</f>
        <v>1</v>
      </c>
      <c r="AT9" s="181">
        <f>$H$9*'IP NW Operations'!T9/'IP NW Operations'!$AA$9</f>
        <v>300</v>
      </c>
      <c r="AU9" s="167">
        <f>IF(AS9&gt;0.99999,AT9,AT9*AS9/0.99999)</f>
        <v>300</v>
      </c>
      <c r="AV9" s="180">
        <f>'IP NW Operations'!U6</f>
        <v>1</v>
      </c>
      <c r="AW9" s="181">
        <f>$H$9*'IP NW Operations'!U9/'IP NW Operations'!$AA$9</f>
        <v>0</v>
      </c>
      <c r="AX9" s="167">
        <f>IF(AV9&gt;0.99999,AW9,AW9*AV9/0.99999)</f>
        <v>0</v>
      </c>
      <c r="AY9" s="180">
        <f>'IP NW Operations'!V6</f>
        <v>1</v>
      </c>
      <c r="AZ9" s="181">
        <f>$H$9*'IP NW Operations'!V9/'IP NW Operations'!$AA$9</f>
        <v>0</v>
      </c>
      <c r="BA9" s="167">
        <f>IF(AY9&gt;0.99999,AZ9,AZ9*AY9/0.99999)</f>
        <v>0</v>
      </c>
      <c r="BB9" s="180">
        <f>'IP NW Operations'!W6</f>
        <v>1</v>
      </c>
      <c r="BC9" s="181">
        <f>$H$9*'IP NW Operations'!W9/'IP NW Operations'!$AA$9</f>
        <v>300</v>
      </c>
      <c r="BD9" s="167">
        <f>IF(BB9&gt;0.99999,BC9,BC9*BB9/0.99999)</f>
        <v>300</v>
      </c>
      <c r="BE9" s="180">
        <f>'IP NW Operations'!X6</f>
        <v>1</v>
      </c>
      <c r="BF9" s="181">
        <f>$H$9*'IP NW Operations'!X9/'IP NW Operations'!$AA$9</f>
        <v>0</v>
      </c>
      <c r="BG9" s="167">
        <f>IF(BE9&gt;0.99999,BF9,BF9*BE9/0.99999)</f>
        <v>0</v>
      </c>
      <c r="BH9" s="180">
        <f>'IP NW Operations'!Y6</f>
        <v>1</v>
      </c>
      <c r="BI9" s="181">
        <f>$H$9*'IP NW Operations'!Y9/'IP NW Operations'!$AA$9</f>
        <v>0</v>
      </c>
      <c r="BJ9" s="167">
        <f>IF(BH9&gt;0.99999,BI9,BI9*BH9/0.99999)</f>
        <v>0</v>
      </c>
      <c r="BK9" s="180">
        <f>'IP NW Operations'!Z6</f>
        <v>1</v>
      </c>
      <c r="BL9" s="181">
        <f>$H$9*'IP NW Operations'!Z9/'IP NW Operations'!$AA$9</f>
        <v>0</v>
      </c>
      <c r="BM9" s="167">
        <f>IF(BK9&gt;0.99999,BL9,BL9*BK9/0.99999)</f>
        <v>0</v>
      </c>
      <c r="BN9" s="180">
        <f>'IP NW Operations'!R6</f>
        <v>1</v>
      </c>
      <c r="BO9" s="181">
        <f>$H$9*'IP NW Operations'!R9/'IP NW Operations'!$AA$9</f>
        <v>0</v>
      </c>
      <c r="BP9" s="167">
        <f>IF(BN9&gt;0.99999,BO9,BO9*BN9/0.99999)</f>
        <v>0</v>
      </c>
    </row>
    <row r="10" spans="1:68" x14ac:dyDescent="0.25">
      <c r="A10" s="189">
        <v>5</v>
      </c>
      <c r="B10" s="2" t="s">
        <v>3</v>
      </c>
      <c r="C10" s="2" t="s">
        <v>4</v>
      </c>
      <c r="D10" s="200" t="s">
        <v>268</v>
      </c>
      <c r="E10" s="174" t="s">
        <v>252</v>
      </c>
      <c r="F10" s="175" t="s">
        <v>79</v>
      </c>
      <c r="G10" s="423">
        <f>H10/$H$31</f>
        <v>5.0000000000000001E-3</v>
      </c>
      <c r="H10" s="76">
        <v>450</v>
      </c>
      <c r="I10" s="180">
        <f>'IP NW Operations'!G10</f>
        <v>1</v>
      </c>
      <c r="J10" s="181">
        <f>$H$10*'IP NW Operations'!G13/'IP NW Operations'!$AA$13</f>
        <v>105.88235294117646</v>
      </c>
      <c r="K10" s="167">
        <f>IF(I10&gt;0.9999,J10,J10*I10/0.9999)</f>
        <v>105.88235294117646</v>
      </c>
      <c r="L10" s="180">
        <f>'IP NW Operations'!H10</f>
        <v>1</v>
      </c>
      <c r="M10" s="181">
        <f>$H$10*'IP NW Operations'!H13/'IP NW Operations'!$AA$13</f>
        <v>0</v>
      </c>
      <c r="N10" s="167">
        <f>IF(L10&gt;0.9999,M10,M10*L10/0.9999)</f>
        <v>0</v>
      </c>
      <c r="O10" s="180">
        <f>'IP NW Operations'!L10</f>
        <v>1</v>
      </c>
      <c r="P10" s="181">
        <f>$H$10*'IP NW Operations'!L13/'IP NW Operations'!$AA$13</f>
        <v>26.470588235294116</v>
      </c>
      <c r="Q10" s="167">
        <f>IF(O10&gt;0.9999,P10,P10*O10/0.9999)</f>
        <v>26.470588235294116</v>
      </c>
      <c r="R10" s="180">
        <f>'IP NW Operations'!J10</f>
        <v>1</v>
      </c>
      <c r="S10" s="181">
        <f>$H$10*'IP NW Operations'!J13/'IP NW Operations'!$AA$13</f>
        <v>26.470588235294116</v>
      </c>
      <c r="T10" s="167">
        <f>IF(R10&gt;0.9999,S10,S10*R10/0.9999)</f>
        <v>26.470588235294116</v>
      </c>
      <c r="U10" s="180">
        <f>'IP NW Operations'!K10</f>
        <v>1</v>
      </c>
      <c r="V10" s="181">
        <f>$H$10*'IP NW Operations'!K13/'IP NW Operations'!$AA$13</f>
        <v>26.470588235294116</v>
      </c>
      <c r="W10" s="167">
        <f>IF(U10&gt;0.9999,V10,V10*U10/0.9999)</f>
        <v>26.470588235294116</v>
      </c>
      <c r="X10" s="180">
        <f>'IP NW Operations'!M10</f>
        <v>1</v>
      </c>
      <c r="Y10" s="181">
        <f>$H$10*'IP NW Operations'!M13/'IP NW Operations'!$AA$13</f>
        <v>52.941176470588232</v>
      </c>
      <c r="Z10" s="167">
        <f>IF(X10&gt;0.9999,Y10,Y10*X10/0.9999)</f>
        <v>52.941176470588232</v>
      </c>
      <c r="AA10" s="180">
        <f>'IP NW Operations'!I10</f>
        <v>1</v>
      </c>
      <c r="AB10" s="181">
        <f>$H$10*'IP NW Operations'!I13/'IP NW Operations'!$AA$13</f>
        <v>26.470588235294116</v>
      </c>
      <c r="AC10" s="167">
        <f>IF(AA10&gt;0.9999,AB10,AB10*AA10/0.9999)</f>
        <v>26.470588235294116</v>
      </c>
      <c r="AD10" s="180">
        <f>'IP NW Operations'!N10</f>
        <v>1</v>
      </c>
      <c r="AE10" s="181">
        <f>$H$10*'IP NW Operations'!N13/'IP NW Operations'!$AA$13</f>
        <v>26.470588235294116</v>
      </c>
      <c r="AF10" s="167">
        <f>IF(AD10&gt;0.9999,AE10,AE10*AD10/0.9999)</f>
        <v>26.470588235294116</v>
      </c>
      <c r="AG10" s="180">
        <f>'IP NW Operations'!O10</f>
        <v>1</v>
      </c>
      <c r="AH10" s="181">
        <f>$H$10*'IP NW Operations'!O13/'IP NW Operations'!$AA$13</f>
        <v>0</v>
      </c>
      <c r="AI10" s="167">
        <f>IF(AG10&gt;0.9999,AH10,AH10*AG10/0.9999)</f>
        <v>0</v>
      </c>
      <c r="AJ10" s="180">
        <f>'IP NW Operations'!P10</f>
        <v>1</v>
      </c>
      <c r="AK10" s="181">
        <f>$H$10*'IP NW Operations'!P13/'IP NW Operations'!$AA$13</f>
        <v>26.470588235294116</v>
      </c>
      <c r="AL10" s="167">
        <f>IF(AJ10&gt;0.9999,AK10,AK10*AJ10/0.9999)</f>
        <v>26.470588235294116</v>
      </c>
      <c r="AM10" s="180">
        <f>'IP NW Operations'!Q10</f>
        <v>1</v>
      </c>
      <c r="AN10" s="181">
        <f>$H$10*'IP NW Operations'!Q13/'IP NW Operations'!$AA$13</f>
        <v>0</v>
      </c>
      <c r="AO10" s="167">
        <f>IF(AM10&gt;0.9999,AN10,AN10*AM10/0.9999)</f>
        <v>0</v>
      </c>
      <c r="AP10" s="180">
        <f>'IP NW Operations'!S10</f>
        <v>1</v>
      </c>
      <c r="AQ10" s="181">
        <f>$H$10*'IP NW Operations'!S13/'IP NW Operations'!$AA$13</f>
        <v>0</v>
      </c>
      <c r="AR10" s="167">
        <f>IF(AP10&gt;0.9999,AQ10,AQ10*AP10/0.9999)</f>
        <v>0</v>
      </c>
      <c r="AS10" s="180">
        <f>'IP NW Operations'!T10</f>
        <v>1</v>
      </c>
      <c r="AT10" s="181">
        <f>$H$10*'IP NW Operations'!T13/'IP NW Operations'!$AA$13</f>
        <v>26.470588235294116</v>
      </c>
      <c r="AU10" s="167">
        <f>IF(AS10&gt;0.9999,AT10,AT10*AS10/0.9999)</f>
        <v>26.470588235294116</v>
      </c>
      <c r="AV10" s="180">
        <f>'IP NW Operations'!U10</f>
        <v>1</v>
      </c>
      <c r="AW10" s="181">
        <f>$H$10*'IP NW Operations'!U13/'IP NW Operations'!$AA$13</f>
        <v>26.470588235294116</v>
      </c>
      <c r="AX10" s="167">
        <f>IF(AV10&gt;0.9999,AW10,AW10*AV10/0.9999)</f>
        <v>26.470588235294116</v>
      </c>
      <c r="AY10" s="180">
        <f>'IP NW Operations'!V10</f>
        <v>1</v>
      </c>
      <c r="AZ10" s="181">
        <f>$H$10*'IP NW Operations'!V13/'IP NW Operations'!$AA$13</f>
        <v>0</v>
      </c>
      <c r="BA10" s="167">
        <f>IF(AY10&gt;0.9999,AZ10,AZ10*AY10/0.9999)</f>
        <v>0</v>
      </c>
      <c r="BB10" s="180">
        <f>'IP NW Operations'!W10</f>
        <v>1</v>
      </c>
      <c r="BC10" s="181">
        <f>$H$10*'IP NW Operations'!W13/'IP NW Operations'!$AA$13</f>
        <v>26.470588235294116</v>
      </c>
      <c r="BD10" s="167">
        <f>IF(BB10&gt;0.9999,BC10,BC10*BB10/0.9999)</f>
        <v>26.470588235294116</v>
      </c>
      <c r="BE10" s="180">
        <f>'IP NW Operations'!X10</f>
        <v>1</v>
      </c>
      <c r="BF10" s="181">
        <f>$H$10*'IP NW Operations'!X13/'IP NW Operations'!$AA$13</f>
        <v>0</v>
      </c>
      <c r="BG10" s="167">
        <f>IF(BE10&gt;0.9999,BF10,BF10*BE10/0.9999)</f>
        <v>0</v>
      </c>
      <c r="BH10" s="180">
        <f>'IP NW Operations'!Y10</f>
        <v>1</v>
      </c>
      <c r="BI10" s="181">
        <f>$H$10*'IP NW Operations'!Y13/'IP NW Operations'!$AA$13</f>
        <v>26.470588235294116</v>
      </c>
      <c r="BJ10" s="167">
        <f>IF(BH10&gt;0.9999,BI10,BI10*BH10/0.9999)</f>
        <v>26.470588235294116</v>
      </c>
      <c r="BK10" s="180">
        <f>'IP NW Operations'!Z10</f>
        <v>1</v>
      </c>
      <c r="BL10" s="181">
        <f>$H$10*'IP NW Operations'!Z13/'IP NW Operations'!$AA$13</f>
        <v>0</v>
      </c>
      <c r="BM10" s="167">
        <f>IF(BK10&gt;0.9999,BL10,BL10*BK10/0.9999)</f>
        <v>0</v>
      </c>
      <c r="BN10" s="180">
        <f>'IP NW Operations'!R10</f>
        <v>1</v>
      </c>
      <c r="BO10" s="181">
        <f>$H$10*'IP NW Operations'!R13/'IP NW Operations'!$AA$13</f>
        <v>26.470588235294116</v>
      </c>
      <c r="BP10" s="167">
        <f>IF(BN10&gt;0.9999,BO10,BO10*BN10/0.9999)</f>
        <v>26.470588235294116</v>
      </c>
    </row>
    <row r="11" spans="1:68" x14ac:dyDescent="0.25">
      <c r="A11" s="189">
        <v>6</v>
      </c>
      <c r="B11" s="2" t="s">
        <v>3</v>
      </c>
      <c r="C11" s="2" t="s">
        <v>4</v>
      </c>
      <c r="D11" s="200" t="s">
        <v>268</v>
      </c>
      <c r="E11" s="174" t="s">
        <v>253</v>
      </c>
      <c r="F11" s="175" t="s">
        <v>80</v>
      </c>
      <c r="G11" s="423">
        <f>H11/$H$31</f>
        <v>0.02</v>
      </c>
      <c r="H11" s="76">
        <v>1800</v>
      </c>
      <c r="I11" s="180">
        <f>'IP NW Operations'!G14</f>
        <v>1</v>
      </c>
      <c r="J11" s="181">
        <f>$H$11*'IP NW Operations'!G17/'IP NW Operations'!$AA$17</f>
        <v>81.663516068052928</v>
      </c>
      <c r="K11" s="167">
        <f>IF(I11&gt;0.9995,J11,J11*I11/0.9995)</f>
        <v>81.663516068052928</v>
      </c>
      <c r="L11" s="180">
        <f>'IP NW Operations'!H14</f>
        <v>1</v>
      </c>
      <c r="M11" s="181">
        <f>$H$11*'IP NW Operations'!H17/'IP NW Operations'!$AA$17</f>
        <v>309.64083175803404</v>
      </c>
      <c r="N11" s="167">
        <f>IF(L11&gt;0.9995,M11,M11*L11/0.9995)</f>
        <v>309.64083175803404</v>
      </c>
      <c r="O11" s="180">
        <f>'IP NW Operations'!L14</f>
        <v>1</v>
      </c>
      <c r="P11" s="181">
        <f>$H$11*'IP NW Operations'!L17/'IP NW Operations'!$AA$17</f>
        <v>146.31379962192815</v>
      </c>
      <c r="Q11" s="167">
        <f>IF(O11&gt;0.9995,P11,P11*O11/0.9995)</f>
        <v>146.31379962192815</v>
      </c>
      <c r="R11" s="180">
        <f>'IP NW Operations'!J14</f>
        <v>1</v>
      </c>
      <c r="S11" s="181">
        <f>$H$11*'IP NW Operations'!J17/'IP NW Operations'!$AA$17</f>
        <v>81.663516068052928</v>
      </c>
      <c r="T11" s="167">
        <f>IF(R11&gt;0.9995,S11,S11*R11/0.9995)</f>
        <v>81.663516068052928</v>
      </c>
      <c r="U11" s="180">
        <f>'IP NW Operations'!K14</f>
        <v>1</v>
      </c>
      <c r="V11" s="181">
        <f>$H$11*'IP NW Operations'!K17/'IP NW Operations'!$AA$17</f>
        <v>81.663516068052928</v>
      </c>
      <c r="W11" s="167">
        <f>IF(U11&gt;0.9995,V11,V11*U11/0.9995)</f>
        <v>81.663516068052928</v>
      </c>
      <c r="X11" s="180">
        <f>'IP NW Operations'!M14</f>
        <v>1</v>
      </c>
      <c r="Y11" s="181">
        <f>$H$11*'IP NW Operations'!M17/'IP NW Operations'!$AA$17</f>
        <v>102.07939508506617</v>
      </c>
      <c r="Z11" s="167">
        <f>IF(X11&gt;0.9995,Y11,Y11*X11/0.9995)</f>
        <v>102.07939508506617</v>
      </c>
      <c r="AA11" s="180">
        <f>'IP NW Operations'!I14</f>
        <v>1</v>
      </c>
      <c r="AB11" s="181">
        <f>$H$11*'IP NW Operations'!I17/'IP NW Operations'!$AA$17</f>
        <v>95.274102079395078</v>
      </c>
      <c r="AC11" s="167">
        <f>IF(AA11&gt;0.9995,AB11,AB11*AA11/0.9995)</f>
        <v>95.274102079395078</v>
      </c>
      <c r="AD11" s="180">
        <f>'IP NW Operations'!N14</f>
        <v>1</v>
      </c>
      <c r="AE11" s="181">
        <f>$H$11*'IP NW Operations'!N17/'IP NW Operations'!$AA$17</f>
        <v>81.663516068052928</v>
      </c>
      <c r="AF11" s="167">
        <f>IF(AD11&gt;0.9995,AE11,AE11*AD11/0.9995)</f>
        <v>81.663516068052928</v>
      </c>
      <c r="AG11" s="180">
        <f>'IP NW Operations'!O14</f>
        <v>1</v>
      </c>
      <c r="AH11" s="181">
        <f>$H$11*'IP NW Operations'!O17/'IP NW Operations'!$AA$17</f>
        <v>34.026465028355389</v>
      </c>
      <c r="AI11" s="167">
        <f>IF(AG11&gt;0.9995,AH11,AH11*AG11/0.9995)</f>
        <v>34.026465028355389</v>
      </c>
      <c r="AJ11" s="180">
        <f>'IP NW Operations'!P14</f>
        <v>1</v>
      </c>
      <c r="AK11" s="181">
        <f>$H$11*'IP NW Operations'!P17/'IP NW Operations'!$AA$17</f>
        <v>98.67674858223063</v>
      </c>
      <c r="AL11" s="167">
        <f>IF(AJ11&gt;0.9995,AK11,AK11*AJ11/0.9995)</f>
        <v>98.67674858223063</v>
      </c>
      <c r="AM11" s="180">
        <f>'IP NW Operations'!Q14</f>
        <v>0.99987007168458786</v>
      </c>
      <c r="AN11" s="181">
        <f>$H$11*'IP NW Operations'!Q17/'IP NW Operations'!$AA$17</f>
        <v>85.066162570888466</v>
      </c>
      <c r="AO11" s="167">
        <f>IF(AM11&gt;0.9995,AN11,AN11*AM11/0.9995)</f>
        <v>85.066162570888466</v>
      </c>
      <c r="AP11" s="180">
        <f>'IP NW Operations'!S14</f>
        <v>1</v>
      </c>
      <c r="AQ11" s="181">
        <f>$H$11*'IP NW Operations'!S17/'IP NW Operations'!$AA$17</f>
        <v>64.650283553875241</v>
      </c>
      <c r="AR11" s="167">
        <f>IF(AP11&gt;0.9995,AQ11,AQ11*AP11/0.9995)</f>
        <v>64.650283553875241</v>
      </c>
      <c r="AS11" s="180">
        <f>'IP NW Operations'!T14</f>
        <v>0.99993968844775294</v>
      </c>
      <c r="AT11" s="181">
        <f>$H$11*'IP NW Operations'!T17/'IP NW Operations'!$AA$17</f>
        <v>88.468809073724003</v>
      </c>
      <c r="AU11" s="167">
        <f>IF(AS11&gt;0.9995,AT11,AT11*AS11/0.9995)</f>
        <v>88.468809073724003</v>
      </c>
      <c r="AV11" s="180">
        <f>'IP NW Operations'!U14</f>
        <v>1</v>
      </c>
      <c r="AW11" s="181">
        <f>$H$11*'IP NW Operations'!U17/'IP NW Operations'!$AA$17</f>
        <v>108.88468809073724</v>
      </c>
      <c r="AX11" s="167">
        <f>IF(AV11&gt;0.9995,AW11,AW11*AV11/0.9995)</f>
        <v>108.88468809073724</v>
      </c>
      <c r="AY11" s="180">
        <f>'IP NW Operations'!V14</f>
        <v>1</v>
      </c>
      <c r="AZ11" s="181">
        <f>$H$11*'IP NW Operations'!V17/'IP NW Operations'!$AA$17</f>
        <v>51.039697542533084</v>
      </c>
      <c r="BA11" s="167">
        <f>IF(AY11&gt;0.9995,AZ11,AZ11*AY11/0.9995)</f>
        <v>51.039697542533084</v>
      </c>
      <c r="BB11" s="180">
        <f>'IP NW Operations'!W14</f>
        <v>1</v>
      </c>
      <c r="BC11" s="181">
        <f>$H$11*'IP NW Operations'!W17/'IP NW Operations'!$AA$17</f>
        <v>71.455576559546316</v>
      </c>
      <c r="BD11" s="167">
        <f>IF(BB11&gt;0.9995,BC11,BC11*BB11/0.9995)</f>
        <v>71.455576559546316</v>
      </c>
      <c r="BE11" s="180">
        <f>'IP NW Operations'!X14</f>
        <v>0.99679766171701656</v>
      </c>
      <c r="BF11" s="181">
        <f>$H$11*'IP NW Operations'!X17/'IP NW Operations'!$AA$17</f>
        <v>71.455576559546316</v>
      </c>
      <c r="BG11" s="167">
        <f>IF(BE11&gt;0.9995,BF11,BF11*BE11/0.9995)</f>
        <v>71.26238282260833</v>
      </c>
      <c r="BH11" s="180">
        <f>'IP NW Operations'!Y14</f>
        <v>1</v>
      </c>
      <c r="BI11" s="181">
        <f>$H$11*'IP NW Operations'!Y17/'IP NW Operations'!$AA$17</f>
        <v>34.026465028355389</v>
      </c>
      <c r="BJ11" s="167">
        <f>IF(BH11&gt;0.9995,BI11,BI11*BH11/0.9995)</f>
        <v>34.026465028355389</v>
      </c>
      <c r="BK11" s="180">
        <f>'IP NW Operations'!Z14</f>
        <v>1</v>
      </c>
      <c r="BL11" s="181">
        <f>$H$11*'IP NW Operations'!Z17/'IP NW Operations'!$AA$17</f>
        <v>51.039697542533084</v>
      </c>
      <c r="BM11" s="167">
        <f>IF(BK11&gt;0.9995,BL11,BL11*BK11/0.9995)</f>
        <v>51.039697542533084</v>
      </c>
      <c r="BN11" s="180">
        <f>'IP NW Operations'!R14</f>
        <v>0.99943249701314218</v>
      </c>
      <c r="BO11" s="181">
        <f>$H$11*'IP NW Operations'!R17/'IP NW Operations'!$AA$17</f>
        <v>91.871455576559541</v>
      </c>
      <c r="BP11" s="167">
        <f>IF(BN11&gt;0.9995,BO11,BO11*BN11/0.9995)</f>
        <v>91.86525087655113</v>
      </c>
    </row>
    <row r="12" spans="1:68" x14ac:dyDescent="0.25">
      <c r="A12" s="189">
        <v>7</v>
      </c>
      <c r="B12" s="2" t="s">
        <v>3</v>
      </c>
      <c r="C12" s="2" t="s">
        <v>4</v>
      </c>
      <c r="D12" s="200" t="s">
        <v>268</v>
      </c>
      <c r="E12" s="174" t="s">
        <v>254</v>
      </c>
      <c r="F12" s="178">
        <v>0.99999000000000005</v>
      </c>
      <c r="G12" s="423">
        <f>H12/$H$31</f>
        <v>1.4999999999999999E-2</v>
      </c>
      <c r="H12" s="76">
        <v>1350</v>
      </c>
      <c r="I12" s="180">
        <f>'OTN Operations'!G27</f>
        <v>1</v>
      </c>
      <c r="J12" s="181">
        <f>$H$12*'OTN Operations'!G30/'OTN Operations'!$AA$30</f>
        <v>0</v>
      </c>
      <c r="K12" s="167">
        <f>IF(I12&gt;0.99999,J12,J12*I12/0.99999)</f>
        <v>0</v>
      </c>
      <c r="L12" s="180">
        <f>'OTN Operations'!H27</f>
        <v>1</v>
      </c>
      <c r="M12" s="181">
        <f>$H$12*'OTN Operations'!H30/'OTN Operations'!$AA$30</f>
        <v>450</v>
      </c>
      <c r="N12" s="167">
        <f>IF(L12&gt;0.99999,M12,M12*L12/0.99999)</f>
        <v>450</v>
      </c>
      <c r="O12" s="180">
        <f>'OTN Operations'!L27</f>
        <v>1</v>
      </c>
      <c r="P12" s="181">
        <f>$H$12*'OTN Operations'!L30/'OTN Operations'!$AA$30</f>
        <v>0</v>
      </c>
      <c r="Q12" s="167">
        <f>IF(O12&gt;0.99999,P12,P12*O12/0.99999)</f>
        <v>0</v>
      </c>
      <c r="R12" s="180">
        <f>'OTN Operations'!J27</f>
        <v>1</v>
      </c>
      <c r="S12" s="181">
        <f>$H$12*'OTN Operations'!J30/'OTN Operations'!$AA$30</f>
        <v>225</v>
      </c>
      <c r="T12" s="167">
        <f>IF(R12&gt;0.99999,S12,S12*R12/0.99999)</f>
        <v>225</v>
      </c>
      <c r="U12" s="180">
        <f>'OTN Operations'!K27</f>
        <v>1</v>
      </c>
      <c r="V12" s="181">
        <f>$H$12*'OTN Operations'!K30/'OTN Operations'!$AA$30</f>
        <v>56.25</v>
      </c>
      <c r="W12" s="167">
        <f>IF(U12&gt;0.99999,V12,V12*U12/0.99999)</f>
        <v>56.25</v>
      </c>
      <c r="X12" s="180">
        <f>'OTN Operations'!M27</f>
        <v>1</v>
      </c>
      <c r="Y12" s="181">
        <f>$H$12*'OTN Operations'!M30/'OTN Operations'!$AA$30</f>
        <v>0</v>
      </c>
      <c r="Z12" s="167">
        <f>IF(X12&gt;0.99999,Y12,Y12*X12/0.99999)</f>
        <v>0</v>
      </c>
      <c r="AA12" s="180">
        <f>'OTN Operations'!I27</f>
        <v>1</v>
      </c>
      <c r="AB12" s="181">
        <f>$H$12*'OTN Operations'!I30/'OTN Operations'!$AA$30</f>
        <v>0</v>
      </c>
      <c r="AC12" s="167">
        <f>IF(AA12&gt;0.99999,AB12,AB12*AA12/0.99999)</f>
        <v>0</v>
      </c>
      <c r="AD12" s="180">
        <f>'OTN Operations'!N27</f>
        <v>1</v>
      </c>
      <c r="AE12" s="181">
        <f>$H$12*'OTN Operations'!N30/'OTN Operations'!$AA$30</f>
        <v>0</v>
      </c>
      <c r="AF12" s="167">
        <f>IF(AD12&gt;0.99999,AE12,AE12*AD12/0.99999)</f>
        <v>0</v>
      </c>
      <c r="AG12" s="180">
        <f>'OTN Operations'!O27</f>
        <v>1</v>
      </c>
      <c r="AH12" s="181">
        <f>$H$12*'OTN Operations'!O30/'OTN Operations'!$AA$30</f>
        <v>0</v>
      </c>
      <c r="AI12" s="167">
        <f>IF(AG12&gt;0.99999,AH12,AH12*AG12/0.99999)</f>
        <v>0</v>
      </c>
      <c r="AJ12" s="180">
        <f>'OTN Operations'!P27</f>
        <v>1</v>
      </c>
      <c r="AK12" s="181">
        <f>$H$12*'OTN Operations'!P30/'OTN Operations'!$AA$30</f>
        <v>0</v>
      </c>
      <c r="AL12" s="167">
        <f>IF(AJ12&gt;0.99999,AK12,AK12*AJ12/0.99999)</f>
        <v>0</v>
      </c>
      <c r="AM12" s="180">
        <f>'OTN Operations'!Q27</f>
        <v>1</v>
      </c>
      <c r="AN12" s="181">
        <f>$H$12*'OTN Operations'!Q30/'OTN Operations'!$AA$30</f>
        <v>0</v>
      </c>
      <c r="AO12" s="167">
        <f>IF(AM12&gt;0.99999,AN12,AN12*AM12/0.99999)</f>
        <v>0</v>
      </c>
      <c r="AP12" s="180">
        <f>'OTN Operations'!S27</f>
        <v>1</v>
      </c>
      <c r="AQ12" s="181">
        <f>$H$12*'OTN Operations'!S30/'OTN Operations'!$AA$30</f>
        <v>0</v>
      </c>
      <c r="AR12" s="167">
        <f>IF(AP12&gt;0.99999,AQ12,AQ12*AP12/0.99999)</f>
        <v>0</v>
      </c>
      <c r="AS12" s="180">
        <f>'OTN Operations'!T27</f>
        <v>1</v>
      </c>
      <c r="AT12" s="181">
        <f>$H$12*'OTN Operations'!T30/'OTN Operations'!$AA$30</f>
        <v>56.25</v>
      </c>
      <c r="AU12" s="167">
        <f>IF(AS12&gt;0.99999,AT12,AT12*AS12/0.99999)</f>
        <v>56.25</v>
      </c>
      <c r="AV12" s="180">
        <f>'OTN Operations'!U27</f>
        <v>1</v>
      </c>
      <c r="AW12" s="181">
        <f>$H$12*'OTN Operations'!U30/'OTN Operations'!$AA$30</f>
        <v>365.625</v>
      </c>
      <c r="AX12" s="167">
        <f>IF(AV12&gt;0.99999,AW12,AW12*AV12/0.99999)</f>
        <v>365.625</v>
      </c>
      <c r="AY12" s="180">
        <f>'OTN Operations'!V27</f>
        <v>1</v>
      </c>
      <c r="AZ12" s="181">
        <f>$H$12*'OTN Operations'!V30/'OTN Operations'!$AA$30</f>
        <v>112.5</v>
      </c>
      <c r="BA12" s="167">
        <f>IF(AY12&gt;0.99999,AZ12,AZ12*AY12/0.99999)</f>
        <v>112.5</v>
      </c>
      <c r="BB12" s="180">
        <f>'OTN Operations'!W27</f>
        <v>1</v>
      </c>
      <c r="BC12" s="181">
        <f>$H$12*'OTN Operations'!W30/'OTN Operations'!$AA$30</f>
        <v>84.375</v>
      </c>
      <c r="BD12" s="167">
        <f>IF(BB12&gt;0.99999,BC12,BC12*BB12/0.99999)</f>
        <v>84.375</v>
      </c>
      <c r="BE12" s="180">
        <f>'OTN Operations'!X27</f>
        <v>1</v>
      </c>
      <c r="BF12" s="181">
        <f>$H$12*'OTN Operations'!X30/'OTN Operations'!$AA$30</f>
        <v>0</v>
      </c>
      <c r="BG12" s="167">
        <f>IF(BE12&gt;0.99999,BF12,BF12*BE12/0.99999)</f>
        <v>0</v>
      </c>
      <c r="BH12" s="180">
        <f>'OTN Operations'!Y27</f>
        <v>1</v>
      </c>
      <c r="BI12" s="181">
        <f>$H$12*'OTN Operations'!Y30/'OTN Operations'!$AA$30</f>
        <v>0</v>
      </c>
      <c r="BJ12" s="167">
        <f>IF(BH12&gt;0.99999,BI12,BI12*BH12/0.99999)</f>
        <v>0</v>
      </c>
      <c r="BK12" s="180">
        <f>'OTN Operations'!Z27</f>
        <v>1</v>
      </c>
      <c r="BL12" s="181">
        <f>$H$12*'OTN Operations'!Z16/'OTN Operations'!$AA$30</f>
        <v>22.5</v>
      </c>
      <c r="BM12" s="167">
        <f>IF(BK12&gt;0.99999,BL12,BL12*BK12/0.99999)</f>
        <v>22.5</v>
      </c>
      <c r="BN12" s="180">
        <f>'OTN Operations'!R27</f>
        <v>1</v>
      </c>
      <c r="BO12" s="181">
        <f>$H$12*'OTN Operations'!R30/'OTN Operations'!$AA$30</f>
        <v>0</v>
      </c>
      <c r="BP12" s="167">
        <f>IF(BN12&gt;0.99999,BO12,BO12*BN12/0.99999)</f>
        <v>0</v>
      </c>
    </row>
    <row r="13" spans="1:68" x14ac:dyDescent="0.25">
      <c r="A13" s="189">
        <v>8</v>
      </c>
      <c r="B13" s="2" t="s">
        <v>3</v>
      </c>
      <c r="C13" s="2" t="s">
        <v>4</v>
      </c>
      <c r="D13" s="200" t="s">
        <v>268</v>
      </c>
      <c r="E13" s="174" t="s">
        <v>249</v>
      </c>
      <c r="F13" s="178">
        <v>0.99939999999999996</v>
      </c>
      <c r="G13" s="423">
        <f>H13/$H$31</f>
        <v>1.4999999999999999E-2</v>
      </c>
      <c r="H13" s="76">
        <v>1350</v>
      </c>
      <c r="I13" s="180">
        <f>'[1]Wireline Access NW Op'!G5</f>
        <v>0.99950000000000006</v>
      </c>
      <c r="J13" s="181">
        <f>$H$13*'[1]Wireline Access NW Op'!G11/'[1]Wireline Access NW Op'!$AA$11</f>
        <v>67.5</v>
      </c>
      <c r="K13" s="167">
        <f>IF(I13&gt;0.9994,J13,J13*I13/0.9994)</f>
        <v>67.5</v>
      </c>
      <c r="L13" s="180">
        <f>'[1]Wireline Access NW Op'!J5</f>
        <v>0.99960000000000004</v>
      </c>
      <c r="M13" s="181">
        <f>$H$13*'[1]Wireline Access NW Op'!J11/'[1]Wireline Access NW Op'!$AA$11</f>
        <v>67.5</v>
      </c>
      <c r="N13" s="167">
        <f>IF(L13&gt;0.9994,M13,M13*L13/0.9994)</f>
        <v>67.5</v>
      </c>
      <c r="O13" s="180">
        <f>'[1]Wireline Access NW Op'!M5</f>
        <v>0.99950000000000006</v>
      </c>
      <c r="P13" s="181">
        <f>$H$13*'[1]Wireline Access NW Op'!M11/'[1]Wireline Access NW Op'!$AA$11</f>
        <v>67.5</v>
      </c>
      <c r="Q13" s="167">
        <f>IF(O13&gt;0.9994,P13,P13*O13/0.9994)</f>
        <v>67.5</v>
      </c>
      <c r="R13" s="180">
        <f>'[1]Wireline Access NW Op'!P5</f>
        <v>0.99960000000000004</v>
      </c>
      <c r="S13" s="181">
        <f>$H$13*'[1]Wireline Access NW Op'!P11/'[1]Wireline Access NW Op'!$AA$11</f>
        <v>67.5</v>
      </c>
      <c r="T13" s="167">
        <f>IF(R13&gt;0.9994,S13,S13*R13/0.9994)</f>
        <v>67.5</v>
      </c>
      <c r="U13" s="180">
        <f>'[1]Wireline Access NW Op'!S5</f>
        <v>0.99960000000000004</v>
      </c>
      <c r="V13" s="181">
        <f>$H$13*'[1]Wireline Access NW Op'!S11/'[1]Wireline Access NW Op'!$AA$11</f>
        <v>67.5</v>
      </c>
      <c r="W13" s="167">
        <f>IF(U13&gt;0.9994,V13,V13*U13/0.9994)</f>
        <v>67.5</v>
      </c>
      <c r="X13" s="180">
        <f>'[1]Wireline Access NW Op'!V5</f>
        <v>0.99950000000000006</v>
      </c>
      <c r="Y13" s="181">
        <f>$H$13*'[1]Wireline Access NW Op'!V11/'[1]Wireline Access NW Op'!$AA$11</f>
        <v>67.5</v>
      </c>
      <c r="Z13" s="167">
        <f>IF(X13&gt;0.9994,Y13,Y13*X13/0.9994)</f>
        <v>67.5</v>
      </c>
      <c r="AA13" s="180">
        <f>'[1]Wireline Access NW Op'!Y5</f>
        <v>0.99970000000000003</v>
      </c>
      <c r="AB13" s="181">
        <f>$H$13*'[1]Wireline Access NW Op'!Y11/'[1]Wireline Access NW Op'!$AA$11</f>
        <v>67.5</v>
      </c>
      <c r="AC13" s="167">
        <f>IF(AA13&gt;0.9994,AB13,AB13*AA13/0.9994)</f>
        <v>67.5</v>
      </c>
      <c r="AD13" s="180">
        <f>'[1]Wireline Access NW Op'!N5</f>
        <v>0.99960000000000004</v>
      </c>
      <c r="AE13" s="181">
        <f>$H$13*'[1]Wireline Access NW Op'!N11/'[1]Wireline Access NW Op'!$AA$11</f>
        <v>67.5</v>
      </c>
      <c r="AF13" s="167">
        <f>IF(AD13&gt;0.9994,AE13,AE13*AD13/0.9994)</f>
        <v>67.5</v>
      </c>
      <c r="AG13" s="180">
        <f>'[1]Wireline Access NW Op'!O5</f>
        <v>0.99970000000000003</v>
      </c>
      <c r="AH13" s="181">
        <f>$H$13*'[1]Wireline Access NW Op'!O11/'[1]Wireline Access NW Op'!$AA$11</f>
        <v>67.5</v>
      </c>
      <c r="AI13" s="167">
        <f>IF(AG13&gt;0.9994,AH13,AH13*AG13/0.9994)</f>
        <v>67.5</v>
      </c>
      <c r="AJ13" s="180">
        <f>'[1]Wireline Access NW Op'!P5</f>
        <v>0.99960000000000004</v>
      </c>
      <c r="AK13" s="181">
        <f>$H$13*'[1]Wireline Access NW Op'!P11/'[1]Wireline Access NW Op'!$AA$11</f>
        <v>67.5</v>
      </c>
      <c r="AL13" s="167">
        <f>IF(AJ13&gt;0.9994,AK13,AK13*AJ13/0.9994)</f>
        <v>67.5</v>
      </c>
      <c r="AM13" s="180">
        <f>'[1]Wireline Access NW Op'!Q5</f>
        <v>0.99960000000000004</v>
      </c>
      <c r="AN13" s="181">
        <f>$H$13*'[1]Wireline Access NW Op'!Q11/'[1]Wireline Access NW Op'!$AA$11</f>
        <v>67.5</v>
      </c>
      <c r="AO13" s="167">
        <f>IF(AM13&gt;0.9994,AN13,AN13*AM13/0.9994)</f>
        <v>67.5</v>
      </c>
      <c r="AP13" s="180">
        <f>'[1]Wireline Access NW Op'!S5</f>
        <v>0.99960000000000004</v>
      </c>
      <c r="AQ13" s="181">
        <f>$H$13*'[1]Wireline Access NW Op'!S11/'[1]Wireline Access NW Op'!$AA$11</f>
        <v>67.5</v>
      </c>
      <c r="AR13" s="167">
        <f>IF(AP13&gt;0.9994,AQ13,AQ13*AP13/0.9994)</f>
        <v>67.5</v>
      </c>
      <c r="AS13" s="180">
        <f>'[1]Wireline Access NW Op'!T5</f>
        <v>0.99970000000000003</v>
      </c>
      <c r="AT13" s="181">
        <f>$H$13*'[1]Wireline Access NW Op'!T11/'[1]Wireline Access NW Op'!$AA$11</f>
        <v>67.5</v>
      </c>
      <c r="AU13" s="167">
        <f>IF(AS13&gt;0.9994,AT13,AT13*AS13/0.9994)</f>
        <v>67.5</v>
      </c>
      <c r="AV13" s="180">
        <f>'[1]Wireline Access NW Op'!U5</f>
        <v>0.99960000000000004</v>
      </c>
      <c r="AW13" s="181">
        <f>$H$13*'[1]Wireline Access NW Op'!U11/'[1]Wireline Access NW Op'!$AA$11</f>
        <v>67.5</v>
      </c>
      <c r="AX13" s="167">
        <f>IF(AV13&gt;0.9994,AW13,AW13*AV13/0.9994)</f>
        <v>67.5</v>
      </c>
      <c r="AY13" s="180">
        <f>'[1]Wireline Access NW Op'!V5</f>
        <v>0.99950000000000006</v>
      </c>
      <c r="AZ13" s="181">
        <f>$H$13*'[1]Wireline Access NW Op'!V11/'[1]Wireline Access NW Op'!$AA$11</f>
        <v>67.5</v>
      </c>
      <c r="BA13" s="167">
        <f>IF(AY13&gt;0.9994,AZ13,AZ13*AY13/0.9994)</f>
        <v>67.5</v>
      </c>
      <c r="BB13" s="180">
        <f>'[1]Wireline Access NW Op'!W5</f>
        <v>0.99960000000000004</v>
      </c>
      <c r="BC13" s="181">
        <f>$H$13*'[1]Wireline Access NW Op'!W11/'[1]Wireline Access NW Op'!$AA$11</f>
        <v>67.5</v>
      </c>
      <c r="BD13" s="167">
        <f>IF(BB13&gt;0.9994,BC13,BC13*BB13/0.9994)</f>
        <v>67.5</v>
      </c>
      <c r="BE13" s="180">
        <f>'[1]Wireline Access NW Op'!X5</f>
        <v>0.99960000000000004</v>
      </c>
      <c r="BF13" s="181">
        <f>$H$13*'[1]Wireline Access NW Op'!X11/'[1]Wireline Access NW Op'!$AA$11</f>
        <v>67.5</v>
      </c>
      <c r="BG13" s="167">
        <f>IF(BE13&gt;0.9994,BF13,BF13*BE13/0.9994)</f>
        <v>67.5</v>
      </c>
      <c r="BH13" s="180">
        <f>'[1]Wireline Access NW Op'!Y5</f>
        <v>0.99970000000000003</v>
      </c>
      <c r="BI13" s="181">
        <f>$H$13*'[1]Wireline Access NW Op'!Y11/'[1]Wireline Access NW Op'!$AA$11</f>
        <v>67.5</v>
      </c>
      <c r="BJ13" s="167">
        <f>IF(BH13&gt;0.9994,BI13,BI13*BH13/0.9994)</f>
        <v>67.5</v>
      </c>
      <c r="BK13" s="180">
        <f>'[1]Wireline Access NW Op'!Z5</f>
        <v>0.99960000000000004</v>
      </c>
      <c r="BL13" s="181">
        <f>$H$13*'[1]Wireline Access NW Op'!Z11/'[1]Wireline Access NW Op'!$AA$11</f>
        <v>67.5</v>
      </c>
      <c r="BM13" s="167">
        <f>IF(BK13&gt;0.9994,BL13,BL13*BK13/0.9994)</f>
        <v>67.5</v>
      </c>
      <c r="BN13" s="180">
        <f>'[1]Wireline Access NW Op'!R5</f>
        <v>0.99950000000000006</v>
      </c>
      <c r="BO13" s="181">
        <f>$H$13*'[1]Wireline Access NW Op'!R11/'[1]Wireline Access NW Op'!$AA$11</f>
        <v>67.5</v>
      </c>
      <c r="BP13" s="167">
        <f>IF(BN13&gt;0.9994,BO13,BO13*BN13/0.9994)</f>
        <v>67.5</v>
      </c>
    </row>
    <row r="14" spans="1:68" x14ac:dyDescent="0.25">
      <c r="A14" s="189">
        <v>9</v>
      </c>
      <c r="B14" s="2" t="s">
        <v>3</v>
      </c>
      <c r="C14" s="2" t="s">
        <v>4</v>
      </c>
      <c r="D14" s="200" t="s">
        <v>268</v>
      </c>
      <c r="E14" s="174" t="s">
        <v>269</v>
      </c>
      <c r="F14" s="178">
        <v>0.99990000000000001</v>
      </c>
      <c r="G14" s="423">
        <f>H14/$H$31</f>
        <v>5.0000000000000001E-3</v>
      </c>
      <c r="H14" s="76">
        <v>450</v>
      </c>
      <c r="I14" s="180"/>
      <c r="J14" s="181"/>
      <c r="K14" s="167"/>
      <c r="L14" s="180"/>
      <c r="M14" s="181"/>
      <c r="N14" s="167"/>
      <c r="O14" s="180"/>
      <c r="P14" s="181"/>
      <c r="Q14" s="167"/>
      <c r="R14" s="180"/>
      <c r="S14" s="181"/>
      <c r="T14" s="167"/>
      <c r="U14" s="180"/>
      <c r="V14" s="181"/>
      <c r="W14" s="167"/>
      <c r="X14" s="180"/>
      <c r="Y14" s="181"/>
      <c r="Z14" s="167"/>
      <c r="AA14" s="180"/>
      <c r="AB14" s="181"/>
      <c r="AC14" s="167"/>
      <c r="AD14" s="180"/>
      <c r="AE14" s="181"/>
      <c r="AF14" s="167"/>
      <c r="AG14" s="180"/>
      <c r="AH14" s="181"/>
      <c r="AI14" s="167"/>
      <c r="AJ14" s="180"/>
      <c r="AK14" s="181"/>
      <c r="AL14" s="167"/>
      <c r="AM14" s="180"/>
      <c r="AN14" s="181"/>
      <c r="AO14" s="167"/>
      <c r="AP14" s="180"/>
      <c r="AQ14" s="181"/>
      <c r="AR14" s="167"/>
      <c r="AS14" s="180"/>
      <c r="AT14" s="181"/>
      <c r="AU14" s="167"/>
      <c r="AV14" s="180"/>
      <c r="AW14" s="181"/>
      <c r="AX14" s="167"/>
      <c r="AY14" s="180"/>
      <c r="AZ14" s="181"/>
      <c r="BA14" s="167"/>
      <c r="BB14" s="180"/>
      <c r="BC14" s="181"/>
      <c r="BD14" s="167"/>
      <c r="BE14" s="180"/>
      <c r="BF14" s="181"/>
      <c r="BG14" s="167"/>
      <c r="BH14" s="180"/>
      <c r="BI14" s="181"/>
      <c r="BJ14" s="167"/>
      <c r="BK14" s="180"/>
      <c r="BL14" s="181"/>
      <c r="BM14" s="167"/>
      <c r="BN14" s="180"/>
      <c r="BO14" s="181"/>
      <c r="BP14" s="167"/>
    </row>
    <row r="15" spans="1:68" x14ac:dyDescent="0.25">
      <c r="A15" s="189">
        <v>10</v>
      </c>
      <c r="B15" s="2" t="s">
        <v>3</v>
      </c>
      <c r="C15" s="2" t="s">
        <v>4</v>
      </c>
      <c r="D15" s="200" t="s">
        <v>270</v>
      </c>
      <c r="E15" s="174" t="s">
        <v>248</v>
      </c>
      <c r="F15" s="175">
        <v>1</v>
      </c>
      <c r="G15" s="423">
        <f>H15/$H$31</f>
        <v>3.6666666666666667E-2</v>
      </c>
      <c r="H15" s="76">
        <v>3300</v>
      </c>
      <c r="I15" s="180">
        <v>1</v>
      </c>
      <c r="J15" s="181">
        <f>$H$15*'Routine Maintenance'!J12/'Routine Maintenance'!$AX$12</f>
        <v>129.13043478260869</v>
      </c>
      <c r="K15" s="167">
        <f>J15*I15</f>
        <v>129.13043478260869</v>
      </c>
      <c r="L15" s="180">
        <v>1</v>
      </c>
      <c r="M15" s="181">
        <f>$H$15*'Routine Maintenance'!L12/'Routine Maintenance'!$AX$12</f>
        <v>552.39130434782612</v>
      </c>
      <c r="N15" s="167">
        <f>M15*L15</f>
        <v>552.39130434782612</v>
      </c>
      <c r="O15" s="180">
        <v>1</v>
      </c>
      <c r="P15" s="181">
        <f>$H$15*'Routine Maintenance'!T12/'Routine Maintenance'!$AX$12</f>
        <v>200.86956521739131</v>
      </c>
      <c r="Q15" s="167">
        <f>P15*O15</f>
        <v>200.86956521739131</v>
      </c>
      <c r="R15" s="180">
        <v>1</v>
      </c>
      <c r="S15" s="181">
        <f>$H$15*'Routine Maintenance'!P12/'Routine Maintenance'!$AX$12</f>
        <v>179.34782608695653</v>
      </c>
      <c r="T15" s="167">
        <f>S15*R15</f>
        <v>179.34782608695653</v>
      </c>
      <c r="U15" s="180">
        <v>1</v>
      </c>
      <c r="V15" s="181">
        <f>$H$15*'Routine Maintenance'!R12/'Routine Maintenance'!$AX$12</f>
        <v>100.43478260869566</v>
      </c>
      <c r="W15" s="167">
        <f>V15*U15</f>
        <v>100.43478260869566</v>
      </c>
      <c r="X15" s="180">
        <v>1</v>
      </c>
      <c r="Y15" s="181">
        <f>$H$15*'Routine Maintenance'!V12/'Routine Maintenance'!$AX$12</f>
        <v>215.21739130434781</v>
      </c>
      <c r="Z15" s="167">
        <f>Y15*X15</f>
        <v>215.21739130434781</v>
      </c>
      <c r="AA15" s="180">
        <v>1</v>
      </c>
      <c r="AB15" s="181">
        <f>$H$15*'Routine Maintenance'!N12/'Routine Maintenance'!$AX$12</f>
        <v>193.69565217391303</v>
      </c>
      <c r="AC15" s="167">
        <f>AB15*AA15</f>
        <v>193.69565217391303</v>
      </c>
      <c r="AD15" s="180">
        <v>1</v>
      </c>
      <c r="AE15" s="181">
        <f>$H$15*'Routine Maintenance'!X12/'Routine Maintenance'!$AX$12</f>
        <v>136.30434782608697</v>
      </c>
      <c r="AF15" s="167">
        <f>AE15*AD15</f>
        <v>136.30434782608697</v>
      </c>
      <c r="AG15" s="180">
        <v>1</v>
      </c>
      <c r="AH15" s="181">
        <f>$H$15*'Routine Maintenance'!Z12/'Routine Maintenance'!$AX$12</f>
        <v>64.565217391304344</v>
      </c>
      <c r="AI15" s="167">
        <f>AH15*AG15</f>
        <v>64.565217391304344</v>
      </c>
      <c r="AJ15" s="180">
        <v>1</v>
      </c>
      <c r="AK15" s="181">
        <f>$H$15*'Routine Maintenance'!AB12/'Routine Maintenance'!$AX$12</f>
        <v>186.52173913043478</v>
      </c>
      <c r="AL15" s="167">
        <f>AK15*AJ15</f>
        <v>186.52173913043478</v>
      </c>
      <c r="AM15" s="180">
        <v>1</v>
      </c>
      <c r="AN15" s="181">
        <f>$H$15*'Routine Maintenance'!AD12/'Routine Maintenance'!$AX$12</f>
        <v>165</v>
      </c>
      <c r="AO15" s="167">
        <f>AN15*AM15</f>
        <v>165</v>
      </c>
      <c r="AP15" s="180">
        <v>1</v>
      </c>
      <c r="AQ15" s="181">
        <f>$H$15*'Routine Maintenance'!AH12/'Routine Maintenance'!$AX$12</f>
        <v>114.78260869565217</v>
      </c>
      <c r="AR15" s="167">
        <f>AQ15*AP15</f>
        <v>114.78260869565217</v>
      </c>
      <c r="AS15" s="180">
        <v>1</v>
      </c>
      <c r="AT15" s="181">
        <f>$H$15*'Routine Maintenance'!AJ12/'Routine Maintenance'!$AX$12</f>
        <v>172.17391304347825</v>
      </c>
      <c r="AU15" s="167">
        <f>AT15*AS15</f>
        <v>172.17391304347825</v>
      </c>
      <c r="AV15" s="180">
        <v>1</v>
      </c>
      <c r="AW15" s="181">
        <f>$H$15*'Routine Maintenance'!AL12/'Routine Maintenance'!$AX$12</f>
        <v>243.91304347826087</v>
      </c>
      <c r="AX15" s="167">
        <f>AW15*AV15</f>
        <v>243.91304347826087</v>
      </c>
      <c r="AY15" s="180">
        <v>1</v>
      </c>
      <c r="AZ15" s="181">
        <f>$H$15*'Routine Maintenance'!AN12/'Routine Maintenance'!$AX$12</f>
        <v>93.260869565217391</v>
      </c>
      <c r="BA15" s="167">
        <f>AZ15*AY15</f>
        <v>93.260869565217391</v>
      </c>
      <c r="BB15" s="180">
        <v>1</v>
      </c>
      <c r="BC15" s="181">
        <f>$H$15*'Routine Maintenance'!AP12/'Routine Maintenance'!$AX$12</f>
        <v>129.13043478260869</v>
      </c>
      <c r="BD15" s="167">
        <f>BC15*BB15</f>
        <v>129.13043478260869</v>
      </c>
      <c r="BE15" s="180">
        <v>1</v>
      </c>
      <c r="BF15" s="181">
        <f>$H$15*'Routine Maintenance'!AR12/'Routine Maintenance'!$AX$12</f>
        <v>114.78260869565217</v>
      </c>
      <c r="BG15" s="167">
        <f>BF15*BE15</f>
        <v>114.78260869565217</v>
      </c>
      <c r="BH15" s="180">
        <v>1</v>
      </c>
      <c r="BI15" s="181">
        <f>$H$15*'Routine Maintenance'!AT12/'Routine Maintenance'!$AX$12</f>
        <v>50.217391304347828</v>
      </c>
      <c r="BJ15" s="167">
        <f>BI15*BH15</f>
        <v>50.217391304347828</v>
      </c>
      <c r="BK15" s="180">
        <v>1</v>
      </c>
      <c r="BL15" s="181">
        <f>$H$15*'Routine Maintenance'!AV12/'Routine Maintenance'!$AX$12</f>
        <v>100.43478260869566</v>
      </c>
      <c r="BM15" s="167">
        <f>BL15*BK15</f>
        <v>100.43478260869566</v>
      </c>
      <c r="BN15" s="180">
        <v>1</v>
      </c>
      <c r="BO15" s="181">
        <f>$H$15*'Routine Maintenance'!AF12/'Routine Maintenance'!$AX$12</f>
        <v>157.82608695652175</v>
      </c>
      <c r="BP15" s="167">
        <f>BO15*BN15</f>
        <v>157.82608695652175</v>
      </c>
    </row>
    <row r="16" spans="1:68" x14ac:dyDescent="0.25">
      <c r="A16" s="189">
        <v>11</v>
      </c>
      <c r="B16" s="2" t="s">
        <v>3</v>
      </c>
      <c r="C16" s="2" t="s">
        <v>4</v>
      </c>
      <c r="D16" s="200" t="s">
        <v>270</v>
      </c>
      <c r="E16" s="174" t="s">
        <v>263</v>
      </c>
      <c r="F16" s="175">
        <v>1</v>
      </c>
      <c r="G16" s="423">
        <f>H16/$H$31</f>
        <v>3.6666666666666667E-2</v>
      </c>
      <c r="H16" s="76">
        <v>3300</v>
      </c>
      <c r="I16" s="180">
        <v>1</v>
      </c>
      <c r="J16" s="181">
        <f>$H$16*'Routine Maintenance'!J26/'Routine Maintenance'!$AX$26</f>
        <v>82.5</v>
      </c>
      <c r="K16" s="167">
        <f t="shared" ref="K16:K17" si="0">J16*I16</f>
        <v>82.5</v>
      </c>
      <c r="L16" s="180">
        <v>1</v>
      </c>
      <c r="M16" s="181">
        <f>$H$16*'Routine Maintenance'!L26/'Routine Maintenance'!$AX$26</f>
        <v>165</v>
      </c>
      <c r="N16" s="167">
        <f t="shared" ref="N16:N17" si="1">M16*L16</f>
        <v>165</v>
      </c>
      <c r="O16" s="180">
        <v>1</v>
      </c>
      <c r="P16" s="181">
        <f>$H$16*'Routine Maintenance'!T26/'Routine Maintenance'!$AX$26</f>
        <v>165</v>
      </c>
      <c r="Q16" s="167">
        <f t="shared" ref="Q16:Q17" si="2">P16*O16</f>
        <v>165</v>
      </c>
      <c r="R16" s="180">
        <v>1</v>
      </c>
      <c r="S16" s="181">
        <f>$H$16*'Routine Maintenance'!P26/'Routine Maintenance'!$AX$26</f>
        <v>206.25</v>
      </c>
      <c r="T16" s="167">
        <f t="shared" ref="T16:T17" si="3">S16*R16</f>
        <v>206.25</v>
      </c>
      <c r="U16" s="180">
        <v>1</v>
      </c>
      <c r="V16" s="181">
        <f>$H$16*'Routine Maintenance'!R26/'Routine Maintenance'!$AX$26</f>
        <v>123.75</v>
      </c>
      <c r="W16" s="167">
        <f t="shared" ref="W16:W17" si="4">V16*U16</f>
        <v>123.75</v>
      </c>
      <c r="X16" s="180">
        <v>1</v>
      </c>
      <c r="Y16" s="181">
        <f>$H$16*'Routine Maintenance'!V26/'Routine Maintenance'!$AX$26</f>
        <v>288.75</v>
      </c>
      <c r="Z16" s="167">
        <f t="shared" ref="Z16:Z17" si="5">Y16*X16</f>
        <v>288.75</v>
      </c>
      <c r="AA16" s="180">
        <v>1</v>
      </c>
      <c r="AB16" s="181">
        <f>$H$16*'Routine Maintenance'!N26/'Routine Maintenance'!$AX$26</f>
        <v>206.25</v>
      </c>
      <c r="AC16" s="167">
        <f t="shared" ref="AC16:AC17" si="6">AB16*AA16</f>
        <v>206.25</v>
      </c>
      <c r="AD16" s="180">
        <v>1</v>
      </c>
      <c r="AE16" s="181">
        <f>$H$16*'Routine Maintenance'!X26/'Routine Maintenance'!$AX$26</f>
        <v>123.75</v>
      </c>
      <c r="AF16" s="167">
        <f t="shared" ref="AF16:AF17" si="7">AE16*AD16</f>
        <v>123.75</v>
      </c>
      <c r="AG16" s="180">
        <v>1</v>
      </c>
      <c r="AH16" s="181">
        <f>$H$16*'Routine Maintenance'!Z26/'Routine Maintenance'!$AX$26</f>
        <v>41.25</v>
      </c>
      <c r="AI16" s="167">
        <f t="shared" ref="AI16:AI17" si="8">AH16*AG16</f>
        <v>41.25</v>
      </c>
      <c r="AJ16" s="180">
        <v>1</v>
      </c>
      <c r="AK16" s="181">
        <f>$H$16*'Routine Maintenance'!AB26/'Routine Maintenance'!$AX$26</f>
        <v>165</v>
      </c>
      <c r="AL16" s="167">
        <f t="shared" ref="AL16:AL17" si="9">AK16*AJ16</f>
        <v>165</v>
      </c>
      <c r="AM16" s="180">
        <v>1</v>
      </c>
      <c r="AN16" s="181">
        <f>$H$16*'Routine Maintenance'!AD26/'Routine Maintenance'!$AX$26</f>
        <v>123.75</v>
      </c>
      <c r="AO16" s="167">
        <f t="shared" ref="AO16:AO17" si="10">AN16*AM16</f>
        <v>123.75</v>
      </c>
      <c r="AP16" s="180">
        <v>1</v>
      </c>
      <c r="AQ16" s="181">
        <f>$H$16*'Routine Maintenance'!AH26/'Routine Maintenance'!$AX$26</f>
        <v>123.75</v>
      </c>
      <c r="AR16" s="167">
        <f t="shared" ref="AR16:AR17" si="11">AQ16*AP16</f>
        <v>123.75</v>
      </c>
      <c r="AS16" s="180">
        <v>1</v>
      </c>
      <c r="AT16" s="181">
        <f>$H$16*'Routine Maintenance'!AJ26/'Routine Maintenance'!$AX$26</f>
        <v>247.5</v>
      </c>
      <c r="AU16" s="167">
        <f t="shared" ref="AU16:AU17" si="12">AT16*AS16</f>
        <v>247.5</v>
      </c>
      <c r="AV16" s="180">
        <v>1</v>
      </c>
      <c r="AW16" s="181">
        <f>$H$16*'Routine Maintenance'!AL26/'Routine Maintenance'!$AX$26</f>
        <v>206.25</v>
      </c>
      <c r="AX16" s="167">
        <f t="shared" ref="AX16:AX17" si="13">AW16*AV16</f>
        <v>206.25</v>
      </c>
      <c r="AY16" s="180">
        <v>1</v>
      </c>
      <c r="AZ16" s="181">
        <f>$H$16*'Routine Maintenance'!AN26/'Routine Maintenance'!$AX$26</f>
        <v>82.5</v>
      </c>
      <c r="BA16" s="167">
        <f t="shared" ref="BA16:BA17" si="14">AZ16*AY16</f>
        <v>82.5</v>
      </c>
      <c r="BB16" s="180">
        <v>1</v>
      </c>
      <c r="BC16" s="181">
        <f>$H$16*'Routine Maintenance'!AP26/'Routine Maintenance'!$AX$26</f>
        <v>123.75</v>
      </c>
      <c r="BD16" s="167">
        <f t="shared" ref="BD16:BD17" si="15">BC16*BB16</f>
        <v>123.75</v>
      </c>
      <c r="BE16" s="180">
        <v>1</v>
      </c>
      <c r="BF16" s="181">
        <f>$H$16*'Routine Maintenance'!AR26/'Routine Maintenance'!$AX$26</f>
        <v>165</v>
      </c>
      <c r="BG16" s="167">
        <f t="shared" ref="BG16:BG17" si="16">BF16*BE16</f>
        <v>165</v>
      </c>
      <c r="BH16" s="180">
        <v>1</v>
      </c>
      <c r="BI16" s="181">
        <f>$H$16*'Routine Maintenance'!AT26/'Routine Maintenance'!$AX$26</f>
        <v>41.25</v>
      </c>
      <c r="BJ16" s="167">
        <f t="shared" ref="BJ16:BJ17" si="17">BI16*BH16</f>
        <v>41.25</v>
      </c>
      <c r="BK16" s="180">
        <v>1</v>
      </c>
      <c r="BL16" s="181">
        <f>$H$16*'Routine Maintenance'!AV26/'Routine Maintenance'!$AX$26</f>
        <v>330</v>
      </c>
      <c r="BM16" s="167">
        <f t="shared" ref="BM16:BM17" si="18">BL16*BK16</f>
        <v>330</v>
      </c>
      <c r="BN16" s="180">
        <v>1</v>
      </c>
      <c r="BO16" s="181">
        <f>$H$16*'Routine Maintenance'!AF26/'Routine Maintenance'!$AX$26</f>
        <v>288.75</v>
      </c>
      <c r="BP16" s="167">
        <f t="shared" ref="BP16:BP17" si="19">BO16*BN16</f>
        <v>288.75</v>
      </c>
    </row>
    <row r="17" spans="1:68" x14ac:dyDescent="0.25">
      <c r="A17" s="189">
        <v>12</v>
      </c>
      <c r="B17" s="2" t="s">
        <v>3</v>
      </c>
      <c r="C17" s="2" t="s">
        <v>4</v>
      </c>
      <c r="D17" s="200" t="s">
        <v>270</v>
      </c>
      <c r="E17" s="174" t="s">
        <v>250</v>
      </c>
      <c r="F17" s="175">
        <v>1</v>
      </c>
      <c r="G17" s="423">
        <f>H17/$H$31</f>
        <v>2.6666666666666668E-2</v>
      </c>
      <c r="H17" s="76">
        <v>2400</v>
      </c>
      <c r="I17" s="180">
        <v>1</v>
      </c>
      <c r="J17" s="181">
        <f>$H$17*'Routine Maintenance'!J40/'Routine Maintenance'!$AX$40</f>
        <v>55.38761579717211</v>
      </c>
      <c r="K17" s="167">
        <f t="shared" si="0"/>
        <v>55.38761579717211</v>
      </c>
      <c r="L17" s="180">
        <v>1</v>
      </c>
      <c r="M17" s="181">
        <f>$H$17*'Routine Maintenance'!L40/'Routine Maintenance'!$AX$40</f>
        <v>85.811799122379327</v>
      </c>
      <c r="N17" s="167">
        <f t="shared" si="1"/>
        <v>85.811799122379327</v>
      </c>
      <c r="O17" s="180">
        <v>1</v>
      </c>
      <c r="P17" s="181">
        <f>$H$17*'Routine Maintenance'!T40/'Routine Maintenance'!$AX$40</f>
        <v>110.38517796196977</v>
      </c>
      <c r="Q17" s="167">
        <f t="shared" si="2"/>
        <v>110.38517796196977</v>
      </c>
      <c r="R17" s="180">
        <v>1</v>
      </c>
      <c r="S17" s="181">
        <f>$H$17*'Routine Maintenance'!P40/'Routine Maintenance'!$AX$40</f>
        <v>149.39054119941491</v>
      </c>
      <c r="T17" s="167">
        <f t="shared" si="3"/>
        <v>149.39054119941491</v>
      </c>
      <c r="U17" s="180">
        <v>1</v>
      </c>
      <c r="V17" s="181">
        <f>$H$17*'Routine Maintenance'!R40/'Routine Maintenance'!$AX$40</f>
        <v>95.563139931740608</v>
      </c>
      <c r="W17" s="167">
        <f t="shared" si="4"/>
        <v>95.563139931740608</v>
      </c>
      <c r="X17" s="180">
        <v>1</v>
      </c>
      <c r="Y17" s="181">
        <f>$H$17*'Routine Maintenance'!V40/'Routine Maintenance'!$AX$40</f>
        <v>170.84349098000976</v>
      </c>
      <c r="Z17" s="167">
        <f t="shared" si="5"/>
        <v>170.84349098000976</v>
      </c>
      <c r="AA17" s="180">
        <v>1</v>
      </c>
      <c r="AB17" s="181">
        <f>$H$17*'Routine Maintenance'!N40/'Routine Maintenance'!$AX$40</f>
        <v>182.15504631886884</v>
      </c>
      <c r="AC17" s="167">
        <f t="shared" si="6"/>
        <v>182.15504631886884</v>
      </c>
      <c r="AD17" s="180">
        <v>1</v>
      </c>
      <c r="AE17" s="181">
        <f>$H$17*'Routine Maintenance'!X40/'Routine Maintenance'!$AX$40</f>
        <v>106.09458800585081</v>
      </c>
      <c r="AF17" s="167">
        <f t="shared" si="7"/>
        <v>106.09458800585081</v>
      </c>
      <c r="AG17" s="180">
        <v>1</v>
      </c>
      <c r="AH17" s="181">
        <f>$H$17*'Routine Maintenance'!Z40/'Routine Maintenance'!$AX$40</f>
        <v>70.599707459775715</v>
      </c>
      <c r="AI17" s="167">
        <f t="shared" si="8"/>
        <v>70.599707459775715</v>
      </c>
      <c r="AJ17" s="180">
        <v>1</v>
      </c>
      <c r="AK17" s="181">
        <f>$H$17*'Routine Maintenance'!AB40/'Routine Maintenance'!$AX$40</f>
        <v>230.52169673330084</v>
      </c>
      <c r="AL17" s="167">
        <f t="shared" si="9"/>
        <v>230.52169673330084</v>
      </c>
      <c r="AM17" s="180">
        <v>1</v>
      </c>
      <c r="AN17" s="181">
        <f>$H$17*'Routine Maintenance'!AD40/'Routine Maintenance'!$AX40</f>
        <v>134.95855680156021</v>
      </c>
      <c r="AO17" s="167">
        <f t="shared" si="10"/>
        <v>134.95855680156021</v>
      </c>
      <c r="AP17" s="180">
        <v>1</v>
      </c>
      <c r="AQ17" s="181">
        <f>$H$17*'Routine Maintenance'!AH40/'Routine Maintenance'!$AX$40</f>
        <v>88.542174549000492</v>
      </c>
      <c r="AR17" s="167">
        <f t="shared" si="11"/>
        <v>88.542174549000492</v>
      </c>
      <c r="AS17" s="180">
        <v>1</v>
      </c>
      <c r="AT17" s="181">
        <f>$H$17*'Routine Maintenance'!AJ40/'Routine Maintenance'!$AX$40</f>
        <v>155.24134568503169</v>
      </c>
      <c r="AU17" s="167">
        <f t="shared" si="12"/>
        <v>155.24134568503169</v>
      </c>
      <c r="AV17" s="180">
        <v>1</v>
      </c>
      <c r="AW17" s="181">
        <f>$H$17*'Routine Maintenance'!AL40/'Routine Maintenance'!$AX$40</f>
        <v>131.05802047781569</v>
      </c>
      <c r="AX17" s="167">
        <f t="shared" si="13"/>
        <v>131.05802047781569</v>
      </c>
      <c r="AY17" s="180">
        <v>1</v>
      </c>
      <c r="AZ17" s="181">
        <f>$H$17*'Routine Maintenance'!AN40/'Routine Maintenance'!$AX$40</f>
        <v>72.159921989273528</v>
      </c>
      <c r="BA17" s="167">
        <f t="shared" si="14"/>
        <v>72.159921989273528</v>
      </c>
      <c r="BB17" s="180">
        <v>1</v>
      </c>
      <c r="BC17" s="181">
        <f>$H$17*'Routine Maintenance'!AP40/'Routine Maintenance'!$AX$40</f>
        <v>172.0136518771331</v>
      </c>
      <c r="BD17" s="167">
        <f t="shared" si="15"/>
        <v>172.0136518771331</v>
      </c>
      <c r="BE17" s="180">
        <v>1</v>
      </c>
      <c r="BF17" s="181">
        <f>$H$17*'Routine Maintenance'!AR40/'Routine Maintenance'!$AX$40</f>
        <v>108.82496343247196</v>
      </c>
      <c r="BG17" s="167">
        <f t="shared" si="16"/>
        <v>108.82496343247196</v>
      </c>
      <c r="BH17" s="180">
        <v>1</v>
      </c>
      <c r="BI17" s="181">
        <f>$H$17*'Routine Maintenance'!AT40/'Routine Maintenance'!$AX$40</f>
        <v>83.861530960507068</v>
      </c>
      <c r="BJ17" s="167">
        <f t="shared" si="17"/>
        <v>83.861530960507068</v>
      </c>
      <c r="BK17" s="180">
        <v>1</v>
      </c>
      <c r="BL17" s="181">
        <f>$H$17*'Routine Maintenance'!AV40/'Routine Maintenance'!$AX$40</f>
        <v>102.9741589468552</v>
      </c>
      <c r="BM17" s="167">
        <f t="shared" si="18"/>
        <v>102.9741589468552</v>
      </c>
      <c r="BN17" s="180">
        <v>1</v>
      </c>
      <c r="BO17" s="181">
        <f>$H$17*'Routine Maintenance'!AF40/'Routine Maintenance'!$AX$40</f>
        <v>93.612871769868363</v>
      </c>
      <c r="BP17" s="167">
        <f t="shared" si="19"/>
        <v>93.612871769868363</v>
      </c>
    </row>
    <row r="18" spans="1:68" ht="27" x14ac:dyDescent="0.25">
      <c r="A18" s="189">
        <v>13</v>
      </c>
      <c r="B18" s="2" t="s">
        <v>3</v>
      </c>
      <c r="C18" s="2" t="s">
        <v>4</v>
      </c>
      <c r="D18" s="200" t="s">
        <v>271</v>
      </c>
      <c r="E18" s="174" t="s">
        <v>9</v>
      </c>
      <c r="F18" s="175" t="s">
        <v>74</v>
      </c>
      <c r="G18" s="423">
        <f>H18/$H$31</f>
        <v>1.1111111111111112E-2</v>
      </c>
      <c r="H18" s="76">
        <v>1000</v>
      </c>
      <c r="I18" s="180">
        <f>SUM('Tower Maintenance'!G7:G9)</f>
        <v>0.83333333333333337</v>
      </c>
      <c r="J18" s="181">
        <f>H18*'Tower Maintenance'!D31/'Tower Maintenance'!D39</f>
        <v>25.454545454545453</v>
      </c>
      <c r="K18" s="167">
        <f>IF(I18&gt;0.95,J18,J18*I18/0.95)</f>
        <v>22.328548644338117</v>
      </c>
      <c r="L18" s="180">
        <f>SUM('Tower Maintenance'!H7:H9)</f>
        <v>0.6</v>
      </c>
      <c r="M18" s="181">
        <f>H18*'Tower Maintenance'!D32/'Tower Maintenance'!D39</f>
        <v>14.545454545454545</v>
      </c>
      <c r="N18" s="167">
        <f>IF(L18&gt;0.95,M18,M18*L18/0.95)</f>
        <v>9.1866028708133971</v>
      </c>
      <c r="O18" s="180">
        <f>SUM('Tower Maintenance'!L7:L9)</f>
        <v>0.74999999999999989</v>
      </c>
      <c r="P18" s="181">
        <f>H18*'Tower Maintenance'!D33/'Tower Maintenance'!D39</f>
        <v>14.545454545454545</v>
      </c>
      <c r="Q18" s="167">
        <f>IF(O18&gt;0.95,P18,P18*O18/0.95)</f>
        <v>11.483253588516744</v>
      </c>
      <c r="R18" s="180">
        <f>SUM('Tower Maintenance'!J7:J9)</f>
        <v>1</v>
      </c>
      <c r="S18" s="181">
        <f>H18*'Tower Maintenance'!D38/'Tower Maintenance'!D39</f>
        <v>10.909090909090908</v>
      </c>
      <c r="T18" s="167">
        <f>IF(R18&gt;0.95,S18,S18*R18/0.95)</f>
        <v>10.909090909090908</v>
      </c>
      <c r="U18" s="180">
        <f>SUM('Tower Maintenance'!K7:K9)</f>
        <v>0</v>
      </c>
      <c r="V18" s="181">
        <f>H18*'Tower Maintenance'!D37/'Tower Maintenance'!D39</f>
        <v>18.181818181818183</v>
      </c>
      <c r="W18" s="167">
        <f>IF(U18&gt;0.95,V18,V18*U18/0.95)</f>
        <v>0</v>
      </c>
      <c r="X18" s="180">
        <f>SUM('Tower Maintenance'!M7:M9)</f>
        <v>1</v>
      </c>
      <c r="Y18" s="181">
        <f>H18*'Tower Maintenance'!D34/'Tower Maintenance'!D39</f>
        <v>36.363636363636367</v>
      </c>
      <c r="Z18" s="167">
        <f>IF(X18&gt;0.95,Y18,Y18*X18/0.95)</f>
        <v>36.363636363636367</v>
      </c>
      <c r="AA18" s="180">
        <f>SUM('Tower Maintenance'!N7:N9)</f>
        <v>0.81818181818181823</v>
      </c>
      <c r="AB18" s="181">
        <f>H18*'Tower Maintenance'!D35/'Tower Maintenance'!D39</f>
        <v>40</v>
      </c>
      <c r="AC18" s="167">
        <f>IF(AA18&gt;0.95,AB18,AB18*AA18/0.95)</f>
        <v>34.449760765550238</v>
      </c>
      <c r="AD18" s="180">
        <f>SUM('Tower Maintenance'!N7:N9)</f>
        <v>0.81818181818181823</v>
      </c>
      <c r="AE18" s="181">
        <f>H18*'Tower Maintenance'!D25/'Tower Maintenance'!D39</f>
        <v>40</v>
      </c>
      <c r="AF18" s="167">
        <f>IF(AD18&gt;0.95,AE18,AE18*AD18/0.95)</f>
        <v>34.449760765550238</v>
      </c>
      <c r="AG18" s="180">
        <f>SUM('Tower Maintenance'!O7:O9)</f>
        <v>1</v>
      </c>
      <c r="AH18" s="181">
        <f>H18*'Tower Maintenance'!D26/'Tower Maintenance'!D39</f>
        <v>32.727272727272727</v>
      </c>
      <c r="AI18" s="167">
        <f>IF(AG18&gt;0.95,AH18,AH18*AG18/0.95)</f>
        <v>32.727272727272727</v>
      </c>
      <c r="AJ18" s="180">
        <f>SUM('Tower Maintenance'!P7:P9)</f>
        <v>0.92</v>
      </c>
      <c r="AK18" s="181">
        <f>H18*'Tower Maintenance'!D20/'Tower Maintenance'!D39</f>
        <v>83.63636363636364</v>
      </c>
      <c r="AL18" s="167">
        <f>IF(AJ18&gt;0.95,AK18,AK18*AJ18/0.95)</f>
        <v>80.995215311004799</v>
      </c>
      <c r="AM18" s="180">
        <f>SUM('Tower Maintenance'!Q7:Q9)</f>
        <v>0.83333333333333337</v>
      </c>
      <c r="AN18" s="181">
        <f>H18*'Tower Maintenance'!D21/'Tower Maintenance'!D39</f>
        <v>101.81818181818181</v>
      </c>
      <c r="AO18" s="167">
        <f>IF(AM18&gt;0.95,AN18,AN18*AM18/0.95)</f>
        <v>89.314194577352467</v>
      </c>
      <c r="AP18" s="180">
        <f>SUM('Tower Maintenance'!S7:S9)</f>
        <v>1</v>
      </c>
      <c r="AQ18" s="181">
        <f>H18*'Tower Maintenance'!D30/'Tower Maintenance'!D39</f>
        <v>69.090909090909093</v>
      </c>
      <c r="AR18" s="167">
        <f>IF(AP18&gt;0.95,AQ18,AQ18*AP18/0.95)</f>
        <v>69.090909090909093</v>
      </c>
      <c r="AS18" s="180">
        <f>SUM('Tower Maintenance'!T7:T9)</f>
        <v>1</v>
      </c>
      <c r="AT18" s="181">
        <f>H18*'Tower Maintenance'!D27/'Tower Maintenance'!D39</f>
        <v>40</v>
      </c>
      <c r="AU18" s="167">
        <f>IF(AS18&gt;0.95,AT18,AT18*AS18/0.95)</f>
        <v>40</v>
      </c>
      <c r="AV18" s="180">
        <f>SUM('Tower Maintenance'!U7:U9)</f>
        <v>0.74999999999999989</v>
      </c>
      <c r="AW18" s="181">
        <f>H18*'Tower Maintenance'!D28/'Tower Maintenance'!D39</f>
        <v>105.45454545454545</v>
      </c>
      <c r="AX18" s="167">
        <f>IF(AV18&gt;0.95,AW18,AW18*AV18/0.95)</f>
        <v>83.253588516746404</v>
      </c>
      <c r="AY18" s="180">
        <f>SUM('Tower Maintenance'!V7:V9)</f>
        <v>1</v>
      </c>
      <c r="AZ18" s="181">
        <f>H18*'Tower Maintenance'!D29/'Tower Maintenance'!D39</f>
        <v>58.18181818181818</v>
      </c>
      <c r="BA18" s="167">
        <f>IF(AY18&gt;0.95,AZ18,AZ18*AY18/0.95)</f>
        <v>58.18181818181818</v>
      </c>
      <c r="BB18" s="180">
        <f>SUM('Tower Maintenance'!W7:W9)</f>
        <v>1</v>
      </c>
      <c r="BC18" s="181">
        <f>H18*'Tower Maintenance'!D36/'Tower Maintenance'!D39</f>
        <v>18.181818181818183</v>
      </c>
      <c r="BD18" s="167">
        <f>IF(BB18&gt;0.95,BC18,BC18*BB18/0.95)</f>
        <v>18.181818181818183</v>
      </c>
      <c r="BE18" s="180">
        <f>SUM('Tower Maintenance'!X7:X9)</f>
        <v>1</v>
      </c>
      <c r="BF18" s="181">
        <f>H18*'Tower Maintenance'!D19/'Tower Maintenance'!D39</f>
        <v>54.545454545454547</v>
      </c>
      <c r="BG18" s="167">
        <f>IF(BE18&gt;0.95,BF18,BF18*BE18/0.95)</f>
        <v>54.545454545454547</v>
      </c>
      <c r="BH18" s="180">
        <f>SUM('Tower Maintenance'!Y7:Y9)</f>
        <v>1</v>
      </c>
      <c r="BI18" s="181">
        <f>H18*'Tower Maintenance'!D24/'Tower Maintenance'!D39</f>
        <v>36.363636363636367</v>
      </c>
      <c r="BJ18" s="167">
        <f>IF(BH18&gt;0.95,BI18,BI18*BH18/0.95)</f>
        <v>36.363636363636367</v>
      </c>
      <c r="BK18" s="180">
        <f>SUM('Tower Maintenance'!Z7:Z9)</f>
        <v>1</v>
      </c>
      <c r="BL18" s="181">
        <f>H18*'Tower Maintenance'!D23/'Tower Maintenance'!D39</f>
        <v>101.81818181818181</v>
      </c>
      <c r="BM18" s="167">
        <f>IF(BK18&gt;0.95,BL18,BL18*BK18/0.95)</f>
        <v>101.81818181818181</v>
      </c>
      <c r="BN18" s="180">
        <f>SUM('Tower Maintenance'!R7:R9)</f>
        <v>1</v>
      </c>
      <c r="BO18" s="181">
        <f>H18*'Tower Maintenance'!D22/'Tower Maintenance'!D39</f>
        <v>98.181818181818187</v>
      </c>
      <c r="BP18" s="167">
        <f>IF(BN18&gt;0.95,BO18,BO18*BN18/0.95)</f>
        <v>98.181818181818187</v>
      </c>
    </row>
    <row r="19" spans="1:68" ht="15.75" thickBot="1" x14ac:dyDescent="0.3">
      <c r="A19" s="2">
        <v>14</v>
      </c>
      <c r="B19" s="2" t="s">
        <v>3</v>
      </c>
      <c r="C19" s="2" t="s">
        <v>4</v>
      </c>
      <c r="D19" s="2" t="s">
        <v>272</v>
      </c>
      <c r="E19" s="3" t="s">
        <v>251</v>
      </c>
      <c r="F19" s="178">
        <v>0.9</v>
      </c>
      <c r="G19" s="423">
        <f>H19/$H$31</f>
        <v>5.5555555555555552E-2</v>
      </c>
      <c r="H19" s="76">
        <v>5000</v>
      </c>
      <c r="I19" s="180"/>
      <c r="J19" s="181"/>
      <c r="K19" s="167"/>
      <c r="L19" s="180"/>
      <c r="M19" s="181"/>
      <c r="N19" s="167"/>
      <c r="O19" s="180"/>
      <c r="P19" s="181"/>
      <c r="Q19" s="167"/>
      <c r="R19" s="180"/>
      <c r="S19" s="181"/>
      <c r="T19" s="167"/>
      <c r="U19" s="180"/>
      <c r="V19" s="181"/>
      <c r="W19" s="167"/>
      <c r="X19" s="180"/>
      <c r="Y19" s="181"/>
      <c r="Z19" s="167"/>
      <c r="AA19" s="180"/>
      <c r="AB19" s="181"/>
      <c r="AC19" s="167"/>
      <c r="AD19" s="180"/>
      <c r="AE19" s="181"/>
      <c r="AF19" s="167"/>
      <c r="AG19" s="180"/>
      <c r="AH19" s="181"/>
      <c r="AI19" s="167"/>
      <c r="AJ19" s="180"/>
      <c r="AK19" s="181"/>
      <c r="AL19" s="167"/>
      <c r="AM19" s="180"/>
      <c r="AN19" s="181"/>
      <c r="AO19" s="167"/>
      <c r="AP19" s="180"/>
      <c r="AQ19" s="181"/>
      <c r="AR19" s="167"/>
      <c r="AS19" s="180"/>
      <c r="AT19" s="181"/>
      <c r="AU19" s="167"/>
      <c r="AV19" s="180"/>
      <c r="AW19" s="181"/>
      <c r="AX19" s="167"/>
      <c r="AY19" s="180"/>
      <c r="AZ19" s="181"/>
      <c r="BA19" s="167"/>
      <c r="BB19" s="180"/>
      <c r="BC19" s="181"/>
      <c r="BD19" s="167"/>
      <c r="BE19" s="180"/>
      <c r="BF19" s="181"/>
      <c r="BG19" s="167"/>
      <c r="BH19" s="180"/>
      <c r="BI19" s="181"/>
      <c r="BJ19" s="167"/>
      <c r="BK19" s="180"/>
      <c r="BL19" s="181"/>
      <c r="BM19" s="167"/>
      <c r="BN19" s="180"/>
      <c r="BO19" s="181"/>
      <c r="BP19" s="167"/>
    </row>
    <row r="20" spans="1:68" ht="15.75" thickBot="1" x14ac:dyDescent="0.3">
      <c r="A20" s="190">
        <v>15</v>
      </c>
      <c r="B20" s="2" t="s">
        <v>273</v>
      </c>
      <c r="C20" s="2" t="s">
        <v>4</v>
      </c>
      <c r="D20" s="200" t="s">
        <v>274</v>
      </c>
      <c r="E20" s="174" t="s">
        <v>276</v>
      </c>
      <c r="F20" s="178" t="s">
        <v>279</v>
      </c>
      <c r="G20" s="423">
        <f>H20/$H$31</f>
        <v>0.06</v>
      </c>
      <c r="H20" s="76">
        <v>5400</v>
      </c>
      <c r="I20" s="180"/>
      <c r="J20" s="181"/>
      <c r="K20" s="203"/>
      <c r="L20" s="180"/>
      <c r="M20" s="181"/>
      <c r="N20" s="203"/>
      <c r="O20" s="180"/>
      <c r="P20" s="181"/>
      <c r="Q20" s="203"/>
      <c r="R20" s="180"/>
      <c r="S20" s="181"/>
      <c r="T20" s="203"/>
      <c r="U20" s="180"/>
      <c r="V20" s="181"/>
      <c r="W20" s="203"/>
      <c r="X20" s="180"/>
      <c r="Y20" s="181"/>
      <c r="Z20" s="203"/>
      <c r="AA20" s="180"/>
      <c r="AB20" s="181"/>
      <c r="AC20" s="203"/>
      <c r="AD20" s="180"/>
      <c r="AE20" s="181"/>
      <c r="AF20" s="203"/>
      <c r="AG20" s="180"/>
      <c r="AH20" s="181"/>
      <c r="AI20" s="203"/>
      <c r="AJ20" s="180"/>
      <c r="AK20" s="181"/>
      <c r="AL20" s="203"/>
      <c r="AM20" s="180"/>
      <c r="AN20" s="181"/>
      <c r="AO20" s="203"/>
      <c r="AP20" s="180"/>
      <c r="AQ20" s="181"/>
      <c r="AR20" s="203"/>
      <c r="AS20" s="180"/>
      <c r="AT20" s="181"/>
      <c r="AU20" s="203"/>
      <c r="AV20" s="180"/>
      <c r="AW20" s="181"/>
      <c r="AX20" s="203"/>
      <c r="AY20" s="180"/>
      <c r="AZ20" s="181"/>
      <c r="BA20" s="203"/>
      <c r="BB20" s="180"/>
      <c r="BC20" s="181"/>
      <c r="BD20" s="203"/>
      <c r="BE20" s="180"/>
      <c r="BF20" s="181"/>
      <c r="BG20" s="203"/>
      <c r="BH20" s="180"/>
      <c r="BI20" s="181"/>
      <c r="BJ20" s="203"/>
      <c r="BK20" s="180"/>
      <c r="BL20" s="181"/>
      <c r="BM20" s="203"/>
      <c r="BN20" s="180"/>
      <c r="BO20" s="181"/>
      <c r="BP20" s="203"/>
    </row>
    <row r="21" spans="1:68" ht="15.75" thickBot="1" x14ac:dyDescent="0.3">
      <c r="A21" s="190">
        <v>16</v>
      </c>
      <c r="B21" s="2" t="s">
        <v>273</v>
      </c>
      <c r="C21" s="2" t="s">
        <v>4</v>
      </c>
      <c r="D21" s="200" t="s">
        <v>274</v>
      </c>
      <c r="E21" s="174" t="s">
        <v>277</v>
      </c>
      <c r="F21" s="178" t="s">
        <v>279</v>
      </c>
      <c r="G21" s="423">
        <f>H21/$H$31</f>
        <v>0.04</v>
      </c>
      <c r="H21" s="76">
        <v>3600</v>
      </c>
      <c r="I21" s="180"/>
      <c r="J21" s="181"/>
      <c r="K21" s="203"/>
      <c r="L21" s="180"/>
      <c r="M21" s="181"/>
      <c r="N21" s="203"/>
      <c r="O21" s="180"/>
      <c r="P21" s="181"/>
      <c r="Q21" s="203"/>
      <c r="R21" s="180"/>
      <c r="S21" s="181"/>
      <c r="T21" s="203"/>
      <c r="U21" s="180"/>
      <c r="V21" s="181"/>
      <c r="W21" s="203"/>
      <c r="X21" s="180"/>
      <c r="Y21" s="181"/>
      <c r="Z21" s="203"/>
      <c r="AA21" s="180"/>
      <c r="AB21" s="181"/>
      <c r="AC21" s="203"/>
      <c r="AD21" s="180"/>
      <c r="AE21" s="181"/>
      <c r="AF21" s="203"/>
      <c r="AG21" s="180"/>
      <c r="AH21" s="181"/>
      <c r="AI21" s="203"/>
      <c r="AJ21" s="180"/>
      <c r="AK21" s="181"/>
      <c r="AL21" s="203"/>
      <c r="AM21" s="180"/>
      <c r="AN21" s="181"/>
      <c r="AO21" s="203"/>
      <c r="AP21" s="180"/>
      <c r="AQ21" s="181"/>
      <c r="AR21" s="203"/>
      <c r="AS21" s="180"/>
      <c r="AT21" s="181"/>
      <c r="AU21" s="203"/>
      <c r="AV21" s="180"/>
      <c r="AW21" s="181"/>
      <c r="AX21" s="203"/>
      <c r="AY21" s="180"/>
      <c r="AZ21" s="181"/>
      <c r="BA21" s="203"/>
      <c r="BB21" s="180"/>
      <c r="BC21" s="181"/>
      <c r="BD21" s="203"/>
      <c r="BE21" s="180"/>
      <c r="BF21" s="181"/>
      <c r="BG21" s="203"/>
      <c r="BH21" s="180"/>
      <c r="BI21" s="181"/>
      <c r="BJ21" s="203"/>
      <c r="BK21" s="180"/>
      <c r="BL21" s="181"/>
      <c r="BM21" s="203"/>
      <c r="BN21" s="180"/>
      <c r="BO21" s="181"/>
      <c r="BP21" s="203"/>
    </row>
    <row r="22" spans="1:68" ht="15.75" thickBot="1" x14ac:dyDescent="0.3">
      <c r="A22" s="190">
        <v>17</v>
      </c>
      <c r="B22" s="2" t="s">
        <v>273</v>
      </c>
      <c r="C22" s="2" t="s">
        <v>4</v>
      </c>
      <c r="D22" s="200" t="s">
        <v>274</v>
      </c>
      <c r="E22" s="174" t="s">
        <v>278</v>
      </c>
      <c r="F22" s="178">
        <v>0.5</v>
      </c>
      <c r="G22" s="423">
        <f>H22/$H$31</f>
        <v>0.05</v>
      </c>
      <c r="H22" s="76">
        <v>4500</v>
      </c>
      <c r="I22" s="180"/>
      <c r="J22" s="181"/>
      <c r="K22" s="203"/>
      <c r="L22" s="180"/>
      <c r="M22" s="181"/>
      <c r="N22" s="203"/>
      <c r="O22" s="180"/>
      <c r="P22" s="181"/>
      <c r="Q22" s="203"/>
      <c r="R22" s="180"/>
      <c r="S22" s="181"/>
      <c r="T22" s="203"/>
      <c r="U22" s="180"/>
      <c r="V22" s="181"/>
      <c r="W22" s="203"/>
      <c r="X22" s="180"/>
      <c r="Y22" s="181"/>
      <c r="Z22" s="203"/>
      <c r="AA22" s="180"/>
      <c r="AB22" s="181"/>
      <c r="AC22" s="203"/>
      <c r="AD22" s="180"/>
      <c r="AE22" s="181"/>
      <c r="AF22" s="203"/>
      <c r="AG22" s="180"/>
      <c r="AH22" s="181"/>
      <c r="AI22" s="203"/>
      <c r="AJ22" s="180"/>
      <c r="AK22" s="181"/>
      <c r="AL22" s="203"/>
      <c r="AM22" s="180"/>
      <c r="AN22" s="181"/>
      <c r="AO22" s="203"/>
      <c r="AP22" s="180"/>
      <c r="AQ22" s="181"/>
      <c r="AR22" s="203"/>
      <c r="AS22" s="180"/>
      <c r="AT22" s="181"/>
      <c r="AU22" s="203"/>
      <c r="AV22" s="180"/>
      <c r="AW22" s="181"/>
      <c r="AX22" s="203"/>
      <c r="AY22" s="180"/>
      <c r="AZ22" s="181"/>
      <c r="BA22" s="203"/>
      <c r="BB22" s="180"/>
      <c r="BC22" s="181"/>
      <c r="BD22" s="203"/>
      <c r="BE22" s="180"/>
      <c r="BF22" s="181"/>
      <c r="BG22" s="203"/>
      <c r="BH22" s="180"/>
      <c r="BI22" s="181"/>
      <c r="BJ22" s="203"/>
      <c r="BK22" s="180"/>
      <c r="BL22" s="181"/>
      <c r="BM22" s="203"/>
      <c r="BN22" s="180"/>
      <c r="BO22" s="181"/>
      <c r="BP22" s="203"/>
    </row>
    <row r="23" spans="1:68" ht="15.75" thickBot="1" x14ac:dyDescent="0.3">
      <c r="A23" s="190">
        <v>18</v>
      </c>
      <c r="B23" s="2" t="s">
        <v>273</v>
      </c>
      <c r="C23" s="2" t="s">
        <v>4</v>
      </c>
      <c r="D23" s="200" t="s">
        <v>274</v>
      </c>
      <c r="E23" s="174" t="s">
        <v>284</v>
      </c>
      <c r="F23" s="178">
        <v>0.9</v>
      </c>
      <c r="G23" s="423">
        <f>H23/$H$31</f>
        <v>0.05</v>
      </c>
      <c r="H23" s="76">
        <v>4500</v>
      </c>
      <c r="I23" s="180"/>
      <c r="J23" s="181"/>
      <c r="K23" s="203"/>
      <c r="L23" s="180"/>
      <c r="M23" s="181"/>
      <c r="N23" s="203"/>
      <c r="O23" s="180"/>
      <c r="P23" s="181"/>
      <c r="Q23" s="203"/>
      <c r="R23" s="180"/>
      <c r="S23" s="181"/>
      <c r="T23" s="203"/>
      <c r="U23" s="180"/>
      <c r="V23" s="181"/>
      <c r="W23" s="203"/>
      <c r="X23" s="180"/>
      <c r="Y23" s="181"/>
      <c r="Z23" s="203"/>
      <c r="AA23" s="180"/>
      <c r="AB23" s="181"/>
      <c r="AC23" s="203"/>
      <c r="AD23" s="180"/>
      <c r="AE23" s="181"/>
      <c r="AF23" s="203"/>
      <c r="AG23" s="180"/>
      <c r="AH23" s="181"/>
      <c r="AI23" s="203"/>
      <c r="AJ23" s="180"/>
      <c r="AK23" s="181"/>
      <c r="AL23" s="203"/>
      <c r="AM23" s="180"/>
      <c r="AN23" s="181"/>
      <c r="AO23" s="203"/>
      <c r="AP23" s="180"/>
      <c r="AQ23" s="181"/>
      <c r="AR23" s="203"/>
      <c r="AS23" s="180"/>
      <c r="AT23" s="181"/>
      <c r="AU23" s="203"/>
      <c r="AV23" s="180"/>
      <c r="AW23" s="181"/>
      <c r="AX23" s="203"/>
      <c r="AY23" s="180"/>
      <c r="AZ23" s="181"/>
      <c r="BA23" s="203"/>
      <c r="BB23" s="180"/>
      <c r="BC23" s="181"/>
      <c r="BD23" s="203"/>
      <c r="BE23" s="180"/>
      <c r="BF23" s="181"/>
      <c r="BG23" s="203"/>
      <c r="BH23" s="180"/>
      <c r="BI23" s="181"/>
      <c r="BJ23" s="203"/>
      <c r="BK23" s="180"/>
      <c r="BL23" s="181"/>
      <c r="BM23" s="203"/>
      <c r="BN23" s="180"/>
      <c r="BO23" s="181"/>
      <c r="BP23" s="203"/>
    </row>
    <row r="24" spans="1:68" ht="15.75" thickBot="1" x14ac:dyDescent="0.3">
      <c r="A24" s="190">
        <v>19</v>
      </c>
      <c r="B24" s="2" t="s">
        <v>273</v>
      </c>
      <c r="C24" s="2" t="s">
        <v>4</v>
      </c>
      <c r="D24" s="200" t="s">
        <v>275</v>
      </c>
      <c r="E24" s="174" t="s">
        <v>276</v>
      </c>
      <c r="F24" s="178" t="s">
        <v>279</v>
      </c>
      <c r="G24" s="423">
        <f>H24/$H$31</f>
        <v>0.03</v>
      </c>
      <c r="H24" s="76">
        <v>2700</v>
      </c>
      <c r="I24" s="180"/>
      <c r="J24" s="181"/>
      <c r="K24" s="203"/>
      <c r="L24" s="180"/>
      <c r="M24" s="181"/>
      <c r="N24" s="203"/>
      <c r="O24" s="180"/>
      <c r="P24" s="181"/>
      <c r="Q24" s="203"/>
      <c r="R24" s="180"/>
      <c r="S24" s="181"/>
      <c r="T24" s="203"/>
      <c r="U24" s="180"/>
      <c r="V24" s="181"/>
      <c r="W24" s="203"/>
      <c r="X24" s="180"/>
      <c r="Y24" s="181"/>
      <c r="Z24" s="203"/>
      <c r="AA24" s="180"/>
      <c r="AB24" s="181"/>
      <c r="AC24" s="203"/>
      <c r="AD24" s="180"/>
      <c r="AE24" s="181"/>
      <c r="AF24" s="203"/>
      <c r="AG24" s="180"/>
      <c r="AH24" s="181"/>
      <c r="AI24" s="203"/>
      <c r="AJ24" s="180"/>
      <c r="AK24" s="181"/>
      <c r="AL24" s="203"/>
      <c r="AM24" s="180"/>
      <c r="AN24" s="181"/>
      <c r="AO24" s="203"/>
      <c r="AP24" s="180"/>
      <c r="AQ24" s="181"/>
      <c r="AR24" s="203"/>
      <c r="AS24" s="180"/>
      <c r="AT24" s="181"/>
      <c r="AU24" s="203"/>
      <c r="AV24" s="180"/>
      <c r="AW24" s="181"/>
      <c r="AX24" s="203"/>
      <c r="AY24" s="180"/>
      <c r="AZ24" s="181"/>
      <c r="BA24" s="203"/>
      <c r="BB24" s="180"/>
      <c r="BC24" s="181"/>
      <c r="BD24" s="203"/>
      <c r="BE24" s="180"/>
      <c r="BF24" s="181"/>
      <c r="BG24" s="203"/>
      <c r="BH24" s="180"/>
      <c r="BI24" s="181"/>
      <c r="BJ24" s="203"/>
      <c r="BK24" s="180"/>
      <c r="BL24" s="181"/>
      <c r="BM24" s="203"/>
      <c r="BN24" s="180"/>
      <c r="BO24" s="181"/>
      <c r="BP24" s="203"/>
    </row>
    <row r="25" spans="1:68" ht="15.75" thickBot="1" x14ac:dyDescent="0.3">
      <c r="A25" s="190">
        <v>20</v>
      </c>
      <c r="B25" s="2" t="s">
        <v>273</v>
      </c>
      <c r="C25" s="2" t="s">
        <v>4</v>
      </c>
      <c r="D25" s="200" t="s">
        <v>275</v>
      </c>
      <c r="E25" s="174" t="s">
        <v>277</v>
      </c>
      <c r="F25" s="178" t="s">
        <v>279</v>
      </c>
      <c r="G25" s="423">
        <f>H25/$H$31</f>
        <v>0.02</v>
      </c>
      <c r="H25" s="76">
        <v>1800</v>
      </c>
      <c r="I25" s="180"/>
      <c r="J25" s="181"/>
      <c r="K25" s="203"/>
      <c r="L25" s="180"/>
      <c r="M25" s="181"/>
      <c r="N25" s="203"/>
      <c r="O25" s="180"/>
      <c r="P25" s="181"/>
      <c r="Q25" s="203"/>
      <c r="R25" s="180"/>
      <c r="S25" s="181"/>
      <c r="T25" s="203"/>
      <c r="U25" s="180"/>
      <c r="V25" s="181"/>
      <c r="W25" s="203"/>
      <c r="X25" s="180"/>
      <c r="Y25" s="181"/>
      <c r="Z25" s="203"/>
      <c r="AA25" s="180"/>
      <c r="AB25" s="181"/>
      <c r="AC25" s="203"/>
      <c r="AD25" s="180"/>
      <c r="AE25" s="181"/>
      <c r="AF25" s="203"/>
      <c r="AG25" s="180"/>
      <c r="AH25" s="181"/>
      <c r="AI25" s="203"/>
      <c r="AJ25" s="180"/>
      <c r="AK25" s="181"/>
      <c r="AL25" s="203"/>
      <c r="AM25" s="180"/>
      <c r="AN25" s="181"/>
      <c r="AO25" s="203"/>
      <c r="AP25" s="180"/>
      <c r="AQ25" s="181"/>
      <c r="AR25" s="203"/>
      <c r="AS25" s="180"/>
      <c r="AT25" s="181"/>
      <c r="AU25" s="203"/>
      <c r="AV25" s="180"/>
      <c r="AW25" s="181"/>
      <c r="AX25" s="203"/>
      <c r="AY25" s="180"/>
      <c r="AZ25" s="181"/>
      <c r="BA25" s="203"/>
      <c r="BB25" s="180"/>
      <c r="BC25" s="181"/>
      <c r="BD25" s="203"/>
      <c r="BE25" s="180"/>
      <c r="BF25" s="181"/>
      <c r="BG25" s="203"/>
      <c r="BH25" s="180"/>
      <c r="BI25" s="181"/>
      <c r="BJ25" s="203"/>
      <c r="BK25" s="180"/>
      <c r="BL25" s="181"/>
      <c r="BM25" s="203"/>
      <c r="BN25" s="180"/>
      <c r="BO25" s="181"/>
      <c r="BP25" s="203"/>
    </row>
    <row r="26" spans="1:68" ht="15.75" thickBot="1" x14ac:dyDescent="0.3">
      <c r="A26" s="190">
        <v>21</v>
      </c>
      <c r="B26" s="2" t="s">
        <v>273</v>
      </c>
      <c r="C26" s="2" t="s">
        <v>4</v>
      </c>
      <c r="D26" s="200" t="s">
        <v>275</v>
      </c>
      <c r="E26" s="174" t="s">
        <v>278</v>
      </c>
      <c r="F26" s="178">
        <v>0.9</v>
      </c>
      <c r="G26" s="423">
        <f>H26/$H$31</f>
        <v>0.05</v>
      </c>
      <c r="H26" s="76">
        <v>4500</v>
      </c>
      <c r="I26" s="180"/>
      <c r="J26" s="181"/>
      <c r="K26" s="203"/>
      <c r="L26" s="180"/>
      <c r="M26" s="181"/>
      <c r="N26" s="203"/>
      <c r="O26" s="180"/>
      <c r="P26" s="181"/>
      <c r="Q26" s="203"/>
      <c r="R26" s="180"/>
      <c r="S26" s="181"/>
      <c r="T26" s="203"/>
      <c r="U26" s="180"/>
      <c r="V26" s="181"/>
      <c r="W26" s="203"/>
      <c r="X26" s="180"/>
      <c r="Y26" s="181"/>
      <c r="Z26" s="203"/>
      <c r="AA26" s="180"/>
      <c r="AB26" s="181"/>
      <c r="AC26" s="203"/>
      <c r="AD26" s="180"/>
      <c r="AE26" s="181"/>
      <c r="AF26" s="203"/>
      <c r="AG26" s="180"/>
      <c r="AH26" s="181"/>
      <c r="AI26" s="203"/>
      <c r="AJ26" s="180"/>
      <c r="AK26" s="181"/>
      <c r="AL26" s="203"/>
      <c r="AM26" s="180"/>
      <c r="AN26" s="181"/>
      <c r="AO26" s="203"/>
      <c r="AP26" s="180"/>
      <c r="AQ26" s="181"/>
      <c r="AR26" s="203"/>
      <c r="AS26" s="180"/>
      <c r="AT26" s="181"/>
      <c r="AU26" s="203"/>
      <c r="AV26" s="180"/>
      <c r="AW26" s="181"/>
      <c r="AX26" s="203"/>
      <c r="AY26" s="180"/>
      <c r="AZ26" s="181"/>
      <c r="BA26" s="203"/>
      <c r="BB26" s="180"/>
      <c r="BC26" s="181"/>
      <c r="BD26" s="203"/>
      <c r="BE26" s="180"/>
      <c r="BF26" s="181"/>
      <c r="BG26" s="203"/>
      <c r="BH26" s="180"/>
      <c r="BI26" s="181"/>
      <c r="BJ26" s="203"/>
      <c r="BK26" s="180"/>
      <c r="BL26" s="181"/>
      <c r="BM26" s="203"/>
      <c r="BN26" s="180"/>
      <c r="BO26" s="181"/>
      <c r="BP26" s="203"/>
    </row>
    <row r="27" spans="1:68" ht="27" x14ac:dyDescent="0.25">
      <c r="A27" s="190">
        <v>22</v>
      </c>
      <c r="B27" s="2" t="s">
        <v>3</v>
      </c>
      <c r="C27" s="2" t="s">
        <v>280</v>
      </c>
      <c r="D27" s="200" t="s">
        <v>281</v>
      </c>
      <c r="E27" s="174" t="s">
        <v>282</v>
      </c>
      <c r="F27" s="178"/>
      <c r="G27" s="423">
        <f>H27/$H$31</f>
        <v>0.3</v>
      </c>
      <c r="H27">
        <v>27000</v>
      </c>
      <c r="I27" s="12">
        <f>'Service Fulfillment'!K18</f>
        <v>0.85238095238095257</v>
      </c>
      <c r="J27" s="201">
        <f>$H$27/20</f>
        <v>1350</v>
      </c>
      <c r="K27" s="203">
        <f>J27*I27</f>
        <v>1150.714285714286</v>
      </c>
      <c r="L27" s="14">
        <f>'Service Fulfillment'!L18</f>
        <v>0.73478478478478493</v>
      </c>
      <c r="M27" s="201">
        <f>$H$27/20</f>
        <v>1350</v>
      </c>
      <c r="N27" s="203">
        <f>M27*L27</f>
        <v>991.95945945945971</v>
      </c>
      <c r="O27" s="16">
        <f>'Service Fulfillment'!P18</f>
        <v>0.94000000000000017</v>
      </c>
      <c r="P27" s="201">
        <f>$H$27/20</f>
        <v>1350</v>
      </c>
      <c r="Q27" s="203">
        <f>P27*O27</f>
        <v>1269.0000000000002</v>
      </c>
      <c r="R27" s="18">
        <f>'Service Fulfillment'!N18</f>
        <v>0.97142857142857153</v>
      </c>
      <c r="S27" s="201">
        <f>$H$27/20</f>
        <v>1350</v>
      </c>
      <c r="T27" s="203">
        <f>S27*R27</f>
        <v>1311.4285714285716</v>
      </c>
      <c r="U27" s="12">
        <f>'Service Fulfillment'!O18</f>
        <v>0.90000000000000013</v>
      </c>
      <c r="V27" s="201">
        <f>$H$27/20</f>
        <v>1350</v>
      </c>
      <c r="W27" s="203">
        <f>V27*U27</f>
        <v>1215.0000000000002</v>
      </c>
      <c r="X27" s="16">
        <f>'Service Fulfillment'!Q18</f>
        <v>0.86333333333333351</v>
      </c>
      <c r="Y27" s="201">
        <f>$H$27/20</f>
        <v>1350</v>
      </c>
      <c r="Z27" s="203">
        <f>Y27*X27</f>
        <v>1165.5000000000002</v>
      </c>
      <c r="AA27" s="16">
        <f>'Service Fulfillment'!M18</f>
        <v>0.83333333333333337</v>
      </c>
      <c r="AB27" s="201">
        <f>$H$27/20</f>
        <v>1350</v>
      </c>
      <c r="AC27" s="203">
        <f>AB27*AA27</f>
        <v>1125</v>
      </c>
      <c r="AD27" s="23">
        <f>'Service Fulfillment'!R18</f>
        <v>0.85000000000000009</v>
      </c>
      <c r="AE27" s="201">
        <f>$H$27/20</f>
        <v>1350</v>
      </c>
      <c r="AF27" s="203">
        <f>AE27*AD27</f>
        <v>1147.5000000000002</v>
      </c>
      <c r="AG27" s="16">
        <f>'Service Fulfillment'!S18</f>
        <v>1</v>
      </c>
      <c r="AH27" s="201">
        <f>$H$27/20</f>
        <v>1350</v>
      </c>
      <c r="AI27" s="203">
        <f>AH27*AG27</f>
        <v>1350</v>
      </c>
      <c r="AJ27" s="16">
        <f>'Service Fulfillment'!T18</f>
        <v>1</v>
      </c>
      <c r="AK27" s="201">
        <f>$H$27/20</f>
        <v>1350</v>
      </c>
      <c r="AL27" s="203">
        <f>AK27*AJ27</f>
        <v>1350</v>
      </c>
      <c r="AM27" s="16">
        <f>'Service Fulfillment'!U18</f>
        <v>0.8</v>
      </c>
      <c r="AN27" s="201">
        <f>$H$27/20</f>
        <v>1350</v>
      </c>
      <c r="AO27" s="203">
        <f>AN27*AM27</f>
        <v>1080</v>
      </c>
      <c r="AP27" s="16">
        <f>'Service Fulfillment'!W18</f>
        <v>0.8833333333333333</v>
      </c>
      <c r="AQ27" s="201">
        <f>$H$27/20</f>
        <v>1350</v>
      </c>
      <c r="AR27" s="203">
        <f>AQ27*AP27</f>
        <v>1192.5</v>
      </c>
      <c r="AS27" s="24">
        <f>'Service Fulfillment'!X18</f>
        <v>0.95</v>
      </c>
      <c r="AT27" s="201">
        <f>$H$27/20</f>
        <v>1350</v>
      </c>
      <c r="AU27" s="203">
        <f>AT27*AS27</f>
        <v>1282.5</v>
      </c>
      <c r="AV27" s="16">
        <f>'Service Fulfillment'!Y18</f>
        <v>0.92142857142857149</v>
      </c>
      <c r="AW27" s="201">
        <f>$H$27/20</f>
        <v>1350</v>
      </c>
      <c r="AX27" s="203">
        <f>AW27*AV27</f>
        <v>1243.9285714285716</v>
      </c>
      <c r="AY27" s="16">
        <f>'Service Fulfillment'!Z18</f>
        <v>0.98333333333333339</v>
      </c>
      <c r="AZ27" s="201">
        <f>$H$27/20</f>
        <v>1350</v>
      </c>
      <c r="BA27" s="203">
        <f>AZ27*AY27</f>
        <v>1327.5</v>
      </c>
      <c r="BB27" s="23">
        <f>'Service Fulfillment'!AA18</f>
        <v>0.91666666666666674</v>
      </c>
      <c r="BC27" s="201">
        <f>$H$27/20</f>
        <v>1350</v>
      </c>
      <c r="BD27" s="203">
        <f>BC27*BB27</f>
        <v>1237.5</v>
      </c>
      <c r="BE27" s="16">
        <f>'Service Fulfillment'!AB18</f>
        <v>1</v>
      </c>
      <c r="BF27" s="201">
        <f>$H$27/20</f>
        <v>1350</v>
      </c>
      <c r="BG27" s="203">
        <f>BF27*BE27</f>
        <v>1350</v>
      </c>
      <c r="BH27" s="26">
        <f>'Service Fulfillment'!AC18</f>
        <v>1</v>
      </c>
      <c r="BI27" s="201">
        <f>$H$27/20</f>
        <v>1350</v>
      </c>
      <c r="BJ27" s="203">
        <f>BI27*BH27</f>
        <v>1350</v>
      </c>
      <c r="BK27" s="27">
        <f>'Service Fulfillment'!AD18</f>
        <v>1</v>
      </c>
      <c r="BL27" s="201">
        <f>$H$27/20</f>
        <v>1350</v>
      </c>
      <c r="BM27" s="203">
        <f>BL27*BK27</f>
        <v>1350</v>
      </c>
      <c r="BN27" s="27">
        <f>'Service Fulfillment'!V18</f>
        <v>1</v>
      </c>
      <c r="BO27" s="201">
        <f>$H$27/20</f>
        <v>1350</v>
      </c>
      <c r="BP27" s="203">
        <f>BO27*BN27</f>
        <v>1350</v>
      </c>
    </row>
    <row r="28" spans="1:68" s="170" customFormat="1" x14ac:dyDescent="0.25">
      <c r="F28" s="171"/>
      <c r="G28" s="172" t="s">
        <v>217</v>
      </c>
      <c r="H28" s="172"/>
      <c r="I28" s="173"/>
      <c r="J28" s="177">
        <f>SUM(J6:J18)</f>
        <v>1796.8335335367067</v>
      </c>
      <c r="K28" s="177">
        <f>SUM(K6:K18)</f>
        <v>1793.7075367264993</v>
      </c>
      <c r="L28" s="177"/>
      <c r="M28" s="177">
        <f>SUM(M6:M18)</f>
        <v>2318.8619925134199</v>
      </c>
      <c r="N28" s="177">
        <f>SUM(N6:N18)</f>
        <v>2313.5031408387786</v>
      </c>
      <c r="O28" s="177"/>
      <c r="P28" s="177">
        <f>SUM(P6:P18)</f>
        <v>1429.7147225683393</v>
      </c>
      <c r="Q28" s="177">
        <f>SUM(Q6:Q18)</f>
        <v>1426.6525216114017</v>
      </c>
      <c r="R28" s="177"/>
      <c r="S28" s="177">
        <f>SUM(S6:S18)</f>
        <v>1669.8192337316862</v>
      </c>
      <c r="T28" s="177">
        <f>SUM(T6:T18)</f>
        <v>1505.1133513787449</v>
      </c>
      <c r="U28" s="177"/>
      <c r="V28" s="177">
        <f>SUM(V6:V18)</f>
        <v>1243.7864477653275</v>
      </c>
      <c r="W28" s="177">
        <f>SUM(W6:W18)</f>
        <v>625.60462958350934</v>
      </c>
      <c r="X28" s="177"/>
      <c r="Y28" s="177">
        <f>SUM(Y6:Y18)</f>
        <v>1681.6402956831002</v>
      </c>
      <c r="Z28" s="177">
        <f>SUM(Z6:Z18)</f>
        <v>1634.5814721536885</v>
      </c>
      <c r="AA28" s="177"/>
      <c r="AB28" s="177">
        <f>SUM(AB6:AB18)</f>
        <v>1422.4564999185823</v>
      </c>
      <c r="AC28" s="177">
        <f>SUM(AC6:AC18)</f>
        <v>1084.1331514404351</v>
      </c>
      <c r="AD28" s="177"/>
      <c r="AE28" s="177">
        <f>SUM(AE6:AE18)</f>
        <v>1531.0981086284355</v>
      </c>
      <c r="AF28" s="177">
        <f>SUM(AF6:AF18)</f>
        <v>1525.5478693939858</v>
      </c>
      <c r="AG28" s="177"/>
      <c r="AH28" s="177">
        <f>SUM(AH6:AH18)</f>
        <v>935.32619685328348</v>
      </c>
      <c r="AI28" s="177">
        <f>SUM(AI6:AI18)</f>
        <v>911.79678508857762</v>
      </c>
      <c r="AJ28" s="177"/>
      <c r="AK28" s="177">
        <f>SUM(AK6:AK18)</f>
        <v>1832.2997390573501</v>
      </c>
      <c r="AL28" s="177">
        <f>SUM(AL6:AL18)</f>
        <v>1829.6585907319911</v>
      </c>
      <c r="AM28" s="177"/>
      <c r="AN28" s="177">
        <f>SUM(AN6:AN18)</f>
        <v>1333.5655039303565</v>
      </c>
      <c r="AO28" s="177">
        <f>SUM(AO6:AO18)</f>
        <v>1321.0615166895273</v>
      </c>
      <c r="AP28" s="177"/>
      <c r="AQ28" s="177">
        <f>SUM(AQ6:AQ18)</f>
        <v>1202.2885786291629</v>
      </c>
      <c r="AR28" s="177">
        <f>SUM(AR6:AR18)</f>
        <v>1202.2885786291629</v>
      </c>
      <c r="AS28" s="177"/>
      <c r="AT28" s="177">
        <f>SUM(AT6:AT18)</f>
        <v>1901.5498615169802</v>
      </c>
      <c r="AU28" s="177">
        <f>SUM(AU6:AU18)</f>
        <v>1901.5498615169802</v>
      </c>
      <c r="AV28" s="177"/>
      <c r="AW28" s="177">
        <f>SUM(AW6:AW18)</f>
        <v>1953.7860227229548</v>
      </c>
      <c r="AX28" s="177">
        <f>SUM(AX6:AX18)</f>
        <v>1731.5850657851558</v>
      </c>
      <c r="AY28" s="177"/>
      <c r="AZ28" s="177">
        <f>SUM(AZ6:AZ18)</f>
        <v>1186.4573757719927</v>
      </c>
      <c r="BA28" s="177">
        <f>SUM(BA6:BA18)</f>
        <v>1186.4573757719927</v>
      </c>
      <c r="BB28" s="177"/>
      <c r="BC28" s="177">
        <f>SUM(BC6:BC18)</f>
        <v>1666.8496723761264</v>
      </c>
      <c r="BD28" s="177">
        <f>SUM(BD6:BD18)</f>
        <v>1666.8496723761264</v>
      </c>
      <c r="BE28" s="177"/>
      <c r="BF28" s="177">
        <f>SUM(BF6:BF18)</f>
        <v>1330.0538087125769</v>
      </c>
      <c r="BG28" s="177">
        <f>SUM(BG6:BG18)</f>
        <v>1329.860614975639</v>
      </c>
      <c r="BH28" s="177"/>
      <c r="BI28" s="177">
        <f>SUM(BI6:BI18)</f>
        <v>964.34714613871608</v>
      </c>
      <c r="BJ28" s="177">
        <f>SUM(BJ6:BJ18)</f>
        <v>964.34714613871608</v>
      </c>
      <c r="BK28" s="177"/>
      <c r="BL28" s="177">
        <f>SUM(BL6:BL18)</f>
        <v>1524.2120263957177</v>
      </c>
      <c r="BM28" s="177">
        <f>SUM(BM6:BM18)</f>
        <v>1524.2120263957177</v>
      </c>
      <c r="BN28" s="177"/>
      <c r="BO28" s="177">
        <f>SUM(BO6:BO18)</f>
        <v>1572.1580261995143</v>
      </c>
      <c r="BP28" s="177">
        <f>SUM(BP6:BP18)</f>
        <v>1421.2867695963917</v>
      </c>
    </row>
    <row r="29" spans="1:68" x14ac:dyDescent="0.25">
      <c r="F29" s="76"/>
      <c r="G29" s="168" t="s">
        <v>155</v>
      </c>
      <c r="H29" s="168"/>
      <c r="I29" s="168"/>
      <c r="J29" s="168"/>
      <c r="K29" s="169">
        <f>K28/J28</f>
        <v>0.99826027467104617</v>
      </c>
      <c r="L29" s="169"/>
      <c r="M29" s="169"/>
      <c r="N29" s="169">
        <f t="shared" ref="N29:BP29" si="20">N28/M28</f>
        <v>0.9976890165555593</v>
      </c>
      <c r="O29" s="169"/>
      <c r="P29" s="169"/>
      <c r="Q29" s="169">
        <f t="shared" si="20"/>
        <v>0.99785817344635253</v>
      </c>
      <c r="R29" s="169"/>
      <c r="S29" s="169"/>
      <c r="T29" s="169">
        <f t="shared" si="20"/>
        <v>0.90136304635510811</v>
      </c>
      <c r="U29" s="169"/>
      <c r="V29" s="169"/>
      <c r="W29" s="169">
        <f t="shared" si="20"/>
        <v>0.5029839573405176</v>
      </c>
      <c r="X29" s="169"/>
      <c r="Y29" s="169"/>
      <c r="Z29" s="169">
        <f t="shared" si="20"/>
        <v>0.97201611804247601</v>
      </c>
      <c r="AA29" s="169"/>
      <c r="AB29" s="169"/>
      <c r="AC29" s="169">
        <f t="shared" si="20"/>
        <v>0.76215557488224639</v>
      </c>
      <c r="AD29" s="169"/>
      <c r="AE29" s="169"/>
      <c r="AF29" s="169">
        <f t="shared" si="20"/>
        <v>0.99637499438920896</v>
      </c>
      <c r="AG29" s="169"/>
      <c r="AH29" s="169"/>
      <c r="AI29" s="169">
        <f t="shared" si="20"/>
        <v>0.97484363012191277</v>
      </c>
      <c r="AJ29" s="169"/>
      <c r="AK29" s="169"/>
      <c r="AL29" s="169">
        <f t="shared" si="20"/>
        <v>0.9985585609881068</v>
      </c>
      <c r="AM29" s="169"/>
      <c r="AN29" s="169"/>
      <c r="AO29" s="169">
        <f t="shared" si="20"/>
        <v>0.99062364225530963</v>
      </c>
      <c r="AP29" s="169"/>
      <c r="AQ29" s="169"/>
      <c r="AR29" s="169">
        <f t="shared" si="20"/>
        <v>1</v>
      </c>
      <c r="AS29" s="169"/>
      <c r="AT29" s="169"/>
      <c r="AU29" s="169">
        <f t="shared" si="20"/>
        <v>1</v>
      </c>
      <c r="AV29" s="169"/>
      <c r="AW29" s="169"/>
      <c r="AX29" s="169">
        <f t="shared" si="20"/>
        <v>0.88627160070061217</v>
      </c>
      <c r="AY29" s="169"/>
      <c r="AZ29" s="169"/>
      <c r="BA29" s="169">
        <f t="shared" si="20"/>
        <v>1</v>
      </c>
      <c r="BB29" s="169"/>
      <c r="BC29" s="169"/>
      <c r="BD29" s="169">
        <f t="shared" si="20"/>
        <v>1</v>
      </c>
      <c r="BE29" s="169"/>
      <c r="BF29" s="169"/>
      <c r="BG29" s="169">
        <f t="shared" si="20"/>
        <v>0.99985474742775637</v>
      </c>
      <c r="BH29" s="169"/>
      <c r="BI29" s="169"/>
      <c r="BJ29" s="169">
        <f t="shared" si="20"/>
        <v>1</v>
      </c>
      <c r="BK29" s="169"/>
      <c r="BL29" s="169"/>
      <c r="BM29" s="169">
        <f t="shared" si="20"/>
        <v>1</v>
      </c>
      <c r="BN29" s="169"/>
      <c r="BO29" s="169"/>
      <c r="BP29" s="169">
        <f t="shared" si="20"/>
        <v>0.90403556507113081</v>
      </c>
    </row>
    <row r="31" spans="1:68" x14ac:dyDescent="0.25">
      <c r="H31">
        <f>SUM(H6:H27)</f>
        <v>90000</v>
      </c>
    </row>
    <row r="38" spans="1:68" ht="15.75" thickBot="1" x14ac:dyDescent="0.3"/>
    <row r="39" spans="1:68" ht="27" x14ac:dyDescent="0.25">
      <c r="A39" s="2">
        <v>12</v>
      </c>
      <c r="B39" s="2" t="s">
        <v>3</v>
      </c>
      <c r="C39" s="2" t="s">
        <v>7</v>
      </c>
      <c r="D39" s="2"/>
      <c r="E39" s="3" t="s">
        <v>8</v>
      </c>
      <c r="F39" s="36" t="s">
        <v>74</v>
      </c>
      <c r="G39" s="164">
        <f>H39/$H$31</f>
        <v>0.3888888888888889</v>
      </c>
      <c r="H39">
        <v>35000</v>
      </c>
      <c r="I39" s="12">
        <f>'OTN Operations'!G26</f>
        <v>0</v>
      </c>
      <c r="J39" s="29"/>
      <c r="K39" s="13"/>
      <c r="L39" s="14">
        <f>'OTN Operations'!H26</f>
        <v>0</v>
      </c>
      <c r="M39" s="14"/>
      <c r="N39" s="15">
        <v>11.018823529411801</v>
      </c>
      <c r="O39" s="16">
        <f>'OTN Operations'!L26</f>
        <v>0</v>
      </c>
      <c r="P39" s="23"/>
      <c r="Q39" s="17">
        <v>11.08</v>
      </c>
      <c r="R39" s="18">
        <f>'OTN Operations'!J26</f>
        <v>0</v>
      </c>
      <c r="S39" s="30"/>
      <c r="T39" s="19">
        <v>11.08</v>
      </c>
      <c r="U39" s="12">
        <f>'OTN Operations'!K26</f>
        <v>0</v>
      </c>
      <c r="V39" s="31"/>
      <c r="W39" s="20">
        <v>11.034674922600599</v>
      </c>
      <c r="X39" s="16">
        <f>'OTN Operations'!M26</f>
        <v>0</v>
      </c>
      <c r="Y39" s="27"/>
      <c r="Z39" s="21">
        <v>11</v>
      </c>
      <c r="AA39" s="16">
        <f>'OTN Operations'!I26</f>
        <v>0</v>
      </c>
      <c r="AB39" s="27"/>
      <c r="AC39" s="22">
        <v>11.014479638009</v>
      </c>
      <c r="AD39" s="23">
        <f>'OTN Operations'!N26</f>
        <v>0</v>
      </c>
      <c r="AE39" s="23"/>
      <c r="AF39" s="21">
        <v>11.08</v>
      </c>
      <c r="AG39" s="16">
        <f>'OTN Operations'!O26</f>
        <v>0</v>
      </c>
      <c r="AH39" s="27"/>
      <c r="AI39" s="21">
        <v>11.047058823529399</v>
      </c>
      <c r="AJ39" s="16">
        <f>'OTN Operations'!P26</f>
        <v>0</v>
      </c>
      <c r="AK39" s="27"/>
      <c r="AL39" s="21">
        <v>11.08</v>
      </c>
      <c r="AM39" s="16">
        <f>'OTN Operations'!Q26</f>
        <v>0</v>
      </c>
      <c r="AN39" s="27"/>
      <c r="AO39" s="21">
        <v>11.08</v>
      </c>
      <c r="AP39" s="16">
        <f>'OTN Operations'!S26</f>
        <v>0</v>
      </c>
      <c r="AQ39" s="27"/>
      <c r="AR39" s="21">
        <v>11.08</v>
      </c>
      <c r="AS39" s="24">
        <f>'OTN Operations'!T26</f>
        <v>0</v>
      </c>
      <c r="AT39" s="28"/>
      <c r="AU39" s="25">
        <v>11.08</v>
      </c>
      <c r="AV39" s="16">
        <f>'OTN Operations'!U26</f>
        <v>0</v>
      </c>
      <c r="AW39" s="27"/>
      <c r="AX39" s="21">
        <v>11.036199095022599</v>
      </c>
      <c r="AY39" s="16">
        <f>'OTN Operations'!V26</f>
        <v>0</v>
      </c>
      <c r="AZ39" s="27"/>
      <c r="BA39" s="21">
        <v>11.08</v>
      </c>
      <c r="BB39" s="23">
        <f>'OTN Operations'!W26</f>
        <v>0</v>
      </c>
      <c r="BC39" s="23"/>
      <c r="BD39" s="21">
        <v>11.08</v>
      </c>
      <c r="BE39" s="16">
        <f>'OTN Operations'!X26</f>
        <v>0</v>
      </c>
      <c r="BF39" s="27"/>
      <c r="BG39" s="21">
        <v>11.08</v>
      </c>
      <c r="BH39" s="26">
        <f>'OTN Operations'!Y26</f>
        <v>0</v>
      </c>
      <c r="BI39" s="23"/>
      <c r="BJ39" s="21">
        <v>11.08</v>
      </c>
      <c r="BK39" s="27">
        <f>'OTN Operations'!Z26</f>
        <v>0</v>
      </c>
      <c r="BL39" s="27"/>
      <c r="BM39" s="21">
        <v>11.08</v>
      </c>
      <c r="BN39" s="27">
        <f>'OTN Operations'!R26</f>
        <v>0</v>
      </c>
      <c r="BO39" s="27"/>
      <c r="BP39" s="21">
        <v>11.08</v>
      </c>
    </row>
  </sheetData>
  <mergeCells count="54">
    <mergeCell ref="BN4:BP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X4:Z4"/>
    <mergeCell ref="AA4:AC4"/>
    <mergeCell ref="AD4:AF4"/>
    <mergeCell ref="AS3:AU3"/>
    <mergeCell ref="AV3:AX3"/>
    <mergeCell ref="AA3:AC3"/>
    <mergeCell ref="AD3:AF3"/>
    <mergeCell ref="AG3:AI3"/>
    <mergeCell ref="AJ3:AL3"/>
    <mergeCell ref="AM3:AO3"/>
    <mergeCell ref="AP3:AR3"/>
    <mergeCell ref="X3:Z3"/>
    <mergeCell ref="I4:K4"/>
    <mergeCell ref="L4:N4"/>
    <mergeCell ref="O4:Q4"/>
    <mergeCell ref="R4:T4"/>
    <mergeCell ref="U4:W4"/>
    <mergeCell ref="BK3:BM3"/>
    <mergeCell ref="BN3:BP3"/>
    <mergeCell ref="AY3:BA3"/>
    <mergeCell ref="BB3:BD3"/>
    <mergeCell ref="BE3:BG3"/>
    <mergeCell ref="BH3:BJ3"/>
    <mergeCell ref="I1:W1"/>
    <mergeCell ref="X1:AO1"/>
    <mergeCell ref="AP1:BD1"/>
    <mergeCell ref="BE1:BP1"/>
    <mergeCell ref="I2:Q2"/>
    <mergeCell ref="R2:W2"/>
    <mergeCell ref="X2:AC2"/>
    <mergeCell ref="AD2:AI2"/>
    <mergeCell ref="AJ2:AO2"/>
    <mergeCell ref="AP2:AU2"/>
    <mergeCell ref="AV2:BA2"/>
    <mergeCell ref="BB2:BD2"/>
    <mergeCell ref="BE2:BG2"/>
    <mergeCell ref="BH2:BP2"/>
    <mergeCell ref="I3:K3"/>
    <mergeCell ref="L3:N3"/>
    <mergeCell ref="O3:Q3"/>
    <mergeCell ref="R3:T3"/>
    <mergeCell ref="U3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9654-22F9-4ED4-BDC6-86CD0FC0849C}">
  <dimension ref="A1:BM23"/>
  <sheetViews>
    <sheetView topLeftCell="AV1" workbookViewId="0">
      <selection activeCell="I8" sqref="I8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0.140625" bestFit="1" customWidth="1"/>
    <col min="7" max="7" width="12.28515625" bestFit="1" customWidth="1"/>
    <col min="8" max="8" width="12.140625" bestFit="1" customWidth="1"/>
    <col min="9" max="9" width="10.140625" bestFit="1" customWidth="1"/>
    <col min="10" max="10" width="12.140625" bestFit="1" customWidth="1"/>
    <col min="11" max="11" width="9.28515625" bestFit="1" customWidth="1"/>
    <col min="12" max="12" width="10.140625" bestFit="1" customWidth="1"/>
    <col min="13" max="13" width="11.28515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10.28515625" bestFit="1" customWidth="1"/>
    <col min="18" max="18" width="10.140625" bestFit="1" customWidth="1"/>
    <col min="19" max="19" width="11.28515625" bestFit="1" customWidth="1"/>
    <col min="20" max="20" width="9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57031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28515625" bestFit="1" customWidth="1"/>
    <col min="33" max="33" width="10.140625" bestFit="1" customWidth="1"/>
    <col min="34" max="34" width="11.28515625" bestFit="1" customWidth="1"/>
    <col min="35" max="35" width="10.28515625" bestFit="1" customWidth="1"/>
    <col min="36" max="36" width="10.140625" bestFit="1" customWidth="1"/>
    <col min="37" max="37" width="12.28515625" bestFit="1" customWidth="1"/>
    <col min="38" max="38" width="9.5703125" bestFit="1" customWidth="1"/>
    <col min="39" max="39" width="10.140625" bestFit="1" customWidth="1"/>
    <col min="40" max="40" width="11.28515625" bestFit="1" customWidth="1"/>
    <col min="41" max="41" width="9.5703125" bestFit="1" customWidth="1"/>
    <col min="42" max="42" width="12.140625" bestFit="1" customWidth="1"/>
    <col min="43" max="43" width="11.28515625" bestFit="1" customWidth="1"/>
    <col min="44" max="44" width="9.5703125" bestFit="1" customWidth="1"/>
    <col min="45" max="45" width="10.140625" bestFit="1" customWidth="1"/>
    <col min="46" max="46" width="12.28515625" bestFit="1" customWidth="1"/>
    <col min="47" max="47" width="9.5703125" bestFit="1" customWidth="1"/>
    <col min="48" max="48" width="10.140625" bestFit="1" customWidth="1"/>
    <col min="49" max="49" width="11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10.28515625" bestFit="1" customWidth="1"/>
    <col min="57" max="57" width="10.140625" bestFit="1" customWidth="1"/>
    <col min="58" max="58" width="11.28515625" bestFit="1" customWidth="1"/>
    <col min="59" max="59" width="9.28515625" bestFit="1" customWidth="1"/>
    <col min="60" max="60" width="10.140625" bestFit="1" customWidth="1"/>
    <col min="61" max="61" width="12.28515625" bestFit="1" customWidth="1"/>
    <col min="62" max="62" width="10.28515625" bestFit="1" customWidth="1"/>
    <col min="63" max="63" width="10.140625" bestFit="1" customWidth="1"/>
    <col min="64" max="64" width="11.28515625" bestFit="1" customWidth="1"/>
    <col min="65" max="65" width="10.28515625" bestFit="1" customWidth="1"/>
  </cols>
  <sheetData>
    <row r="1" spans="1:65" ht="15.75" thickBot="1" x14ac:dyDescent="0.3">
      <c r="F1" s="299" t="s">
        <v>11</v>
      </c>
      <c r="G1" s="300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2"/>
      <c r="T1" s="303"/>
      <c r="U1" s="304" t="s">
        <v>12</v>
      </c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6"/>
      <c r="AM1" s="307" t="s">
        <v>13</v>
      </c>
      <c r="AN1" s="308"/>
      <c r="AO1" s="309"/>
      <c r="AP1" s="309"/>
      <c r="AQ1" s="309"/>
      <c r="AR1" s="309"/>
      <c r="AS1" s="309"/>
      <c r="AT1" s="309"/>
      <c r="AU1" s="309"/>
      <c r="AV1" s="309"/>
      <c r="AW1" s="309"/>
      <c r="AX1" s="309"/>
      <c r="AY1" s="309"/>
      <c r="AZ1" s="310"/>
      <c r="BA1" s="311"/>
      <c r="BB1" s="312" t="s">
        <v>14</v>
      </c>
      <c r="BC1" s="313"/>
      <c r="BD1" s="313"/>
      <c r="BE1" s="313"/>
      <c r="BF1" s="313"/>
      <c r="BG1" s="313"/>
      <c r="BH1" s="313"/>
      <c r="BI1" s="313"/>
      <c r="BJ1" s="313"/>
      <c r="BK1" s="313"/>
      <c r="BL1" s="313"/>
      <c r="BM1" s="314"/>
    </row>
    <row r="2" spans="1:65" ht="15.75" thickBot="1" x14ac:dyDescent="0.3">
      <c r="F2" s="315" t="s">
        <v>15</v>
      </c>
      <c r="G2" s="316"/>
      <c r="H2" s="317"/>
      <c r="I2" s="317"/>
      <c r="J2" s="317"/>
      <c r="K2" s="317"/>
      <c r="L2" s="317"/>
      <c r="M2" s="318"/>
      <c r="N2" s="318"/>
      <c r="O2" s="319" t="s">
        <v>16</v>
      </c>
      <c r="P2" s="320"/>
      <c r="Q2" s="321"/>
      <c r="R2" s="321"/>
      <c r="S2" s="322"/>
      <c r="T2" s="323"/>
      <c r="U2" s="324" t="s">
        <v>17</v>
      </c>
      <c r="V2" s="325"/>
      <c r="W2" s="325"/>
      <c r="X2" s="325"/>
      <c r="Y2" s="325"/>
      <c r="Z2" s="326"/>
      <c r="AA2" s="327" t="s">
        <v>18</v>
      </c>
      <c r="AB2" s="328"/>
      <c r="AC2" s="328"/>
      <c r="AD2" s="328"/>
      <c r="AE2" s="328"/>
      <c r="AF2" s="320"/>
      <c r="AG2" s="322" t="s">
        <v>19</v>
      </c>
      <c r="AH2" s="328"/>
      <c r="AI2" s="328"/>
      <c r="AJ2" s="328"/>
      <c r="AK2" s="328"/>
      <c r="AL2" s="329"/>
      <c r="AM2" s="315" t="s">
        <v>20</v>
      </c>
      <c r="AN2" s="316"/>
      <c r="AO2" s="317"/>
      <c r="AP2" s="317"/>
      <c r="AQ2" s="318"/>
      <c r="AR2" s="318"/>
      <c r="AS2" s="327" t="s">
        <v>21</v>
      </c>
      <c r="AT2" s="328"/>
      <c r="AU2" s="328"/>
      <c r="AV2" s="328"/>
      <c r="AW2" s="328"/>
      <c r="AX2" s="329"/>
      <c r="AY2" s="327" t="s">
        <v>22</v>
      </c>
      <c r="AZ2" s="328"/>
      <c r="BA2" s="329"/>
      <c r="BB2" s="395" t="s">
        <v>23</v>
      </c>
      <c r="BC2" s="331"/>
      <c r="BD2" s="333"/>
      <c r="BE2" s="331" t="s">
        <v>24</v>
      </c>
      <c r="BF2" s="331"/>
      <c r="BG2" s="331"/>
      <c r="BH2" s="331"/>
      <c r="BI2" s="331"/>
      <c r="BJ2" s="331"/>
      <c r="BK2" s="331"/>
      <c r="BL2" s="331"/>
      <c r="BM2" s="333"/>
    </row>
    <row r="3" spans="1:65" x14ac:dyDescent="0.25">
      <c r="F3" s="366" t="s">
        <v>25</v>
      </c>
      <c r="G3" s="367"/>
      <c r="H3" s="368"/>
      <c r="I3" s="366" t="s">
        <v>26</v>
      </c>
      <c r="J3" s="367"/>
      <c r="K3" s="372"/>
      <c r="L3" s="374" t="s">
        <v>27</v>
      </c>
      <c r="M3" s="367"/>
      <c r="N3" s="368"/>
      <c r="O3" s="366" t="s">
        <v>28</v>
      </c>
      <c r="P3" s="367"/>
      <c r="Q3" s="372"/>
      <c r="R3" s="374" t="s">
        <v>29</v>
      </c>
      <c r="S3" s="367"/>
      <c r="T3" s="368"/>
      <c r="U3" s="379" t="s">
        <v>30</v>
      </c>
      <c r="V3" s="338"/>
      <c r="W3" s="337"/>
      <c r="X3" s="386" t="s">
        <v>31</v>
      </c>
      <c r="Y3" s="387"/>
      <c r="Z3" s="388"/>
      <c r="AA3" s="389" t="s">
        <v>32</v>
      </c>
      <c r="AB3" s="338"/>
      <c r="AC3" s="337"/>
      <c r="AD3" s="389" t="s">
        <v>33</v>
      </c>
      <c r="AE3" s="338"/>
      <c r="AF3" s="337"/>
      <c r="AG3" s="374" t="s">
        <v>34</v>
      </c>
      <c r="AH3" s="367"/>
      <c r="AI3" s="372"/>
      <c r="AJ3" s="374" t="s">
        <v>35</v>
      </c>
      <c r="AK3" s="367"/>
      <c r="AL3" s="368"/>
      <c r="AM3" s="366" t="s">
        <v>36</v>
      </c>
      <c r="AN3" s="367"/>
      <c r="AO3" s="372"/>
      <c r="AP3" s="374" t="s">
        <v>37</v>
      </c>
      <c r="AQ3" s="367"/>
      <c r="AR3" s="368"/>
      <c r="AS3" s="366" t="s">
        <v>38</v>
      </c>
      <c r="AT3" s="367"/>
      <c r="AU3" s="372"/>
      <c r="AV3" s="374" t="s">
        <v>39</v>
      </c>
      <c r="AW3" s="367"/>
      <c r="AX3" s="368"/>
      <c r="AY3" s="366" t="s">
        <v>40</v>
      </c>
      <c r="AZ3" s="367"/>
      <c r="BA3" s="368"/>
      <c r="BB3" s="394" t="s">
        <v>41</v>
      </c>
      <c r="BC3" s="342"/>
      <c r="BD3" s="392"/>
      <c r="BE3" s="394" t="s">
        <v>42</v>
      </c>
      <c r="BF3" s="342"/>
      <c r="BG3" s="343"/>
      <c r="BH3" s="335" t="s">
        <v>43</v>
      </c>
      <c r="BI3" s="342"/>
      <c r="BJ3" s="392"/>
      <c r="BK3" s="379" t="s">
        <v>44</v>
      </c>
      <c r="BL3" s="338"/>
      <c r="BM3" s="393"/>
    </row>
    <row r="4" spans="1:65" x14ac:dyDescent="0.25">
      <c r="F4" s="369" t="s">
        <v>45</v>
      </c>
      <c r="G4" s="370"/>
      <c r="H4" s="371"/>
      <c r="I4" s="373" t="s">
        <v>46</v>
      </c>
      <c r="J4" s="370"/>
      <c r="K4" s="371"/>
      <c r="L4" s="373" t="s">
        <v>47</v>
      </c>
      <c r="M4" s="370"/>
      <c r="N4" s="375"/>
      <c r="O4" s="369" t="s">
        <v>48</v>
      </c>
      <c r="P4" s="370"/>
      <c r="Q4" s="371"/>
      <c r="R4" s="373" t="s">
        <v>49</v>
      </c>
      <c r="S4" s="370"/>
      <c r="T4" s="375"/>
      <c r="U4" s="380" t="s">
        <v>50</v>
      </c>
      <c r="V4" s="381"/>
      <c r="W4" s="382"/>
      <c r="X4" s="383" t="s">
        <v>51</v>
      </c>
      <c r="Y4" s="384"/>
      <c r="Z4" s="385"/>
      <c r="AA4" s="376" t="s">
        <v>52</v>
      </c>
      <c r="AB4" s="377"/>
      <c r="AC4" s="378"/>
      <c r="AD4" s="391" t="s">
        <v>53</v>
      </c>
      <c r="AE4" s="381"/>
      <c r="AF4" s="382"/>
      <c r="AG4" s="373" t="s">
        <v>54</v>
      </c>
      <c r="AH4" s="370"/>
      <c r="AI4" s="371"/>
      <c r="AJ4" s="373" t="s">
        <v>55</v>
      </c>
      <c r="AK4" s="370"/>
      <c r="AL4" s="375"/>
      <c r="AM4" s="369" t="s">
        <v>56</v>
      </c>
      <c r="AN4" s="370"/>
      <c r="AO4" s="371"/>
      <c r="AP4" s="373" t="s">
        <v>57</v>
      </c>
      <c r="AQ4" s="370"/>
      <c r="AR4" s="375"/>
      <c r="AS4" s="369" t="s">
        <v>58</v>
      </c>
      <c r="AT4" s="370"/>
      <c r="AU4" s="371"/>
      <c r="AV4" s="373" t="s">
        <v>59</v>
      </c>
      <c r="AW4" s="370"/>
      <c r="AX4" s="375"/>
      <c r="AY4" s="369" t="s">
        <v>60</v>
      </c>
      <c r="AZ4" s="370"/>
      <c r="BA4" s="375"/>
      <c r="BB4" s="369" t="s">
        <v>61</v>
      </c>
      <c r="BC4" s="370"/>
      <c r="BD4" s="375"/>
      <c r="BE4" s="369" t="s">
        <v>62</v>
      </c>
      <c r="BF4" s="370"/>
      <c r="BG4" s="371"/>
      <c r="BH4" s="373" t="s">
        <v>63</v>
      </c>
      <c r="BI4" s="370"/>
      <c r="BJ4" s="375"/>
      <c r="BK4" s="380" t="s">
        <v>64</v>
      </c>
      <c r="BL4" s="381"/>
      <c r="BM4" s="390"/>
    </row>
    <row r="5" spans="1:65" ht="45" x14ac:dyDescent="0.25">
      <c r="A5" s="1" t="s">
        <v>264</v>
      </c>
      <c r="B5" s="1" t="s">
        <v>0</v>
      </c>
      <c r="C5" s="1" t="s">
        <v>1</v>
      </c>
      <c r="D5" s="166" t="s">
        <v>266</v>
      </c>
      <c r="E5" s="166" t="s">
        <v>2</v>
      </c>
      <c r="F5" s="1" t="s">
        <v>73</v>
      </c>
      <c r="G5" s="1" t="s">
        <v>192</v>
      </c>
      <c r="H5" s="1" t="s">
        <v>155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</row>
    <row r="6" spans="1:65" x14ac:dyDescent="0.25">
      <c r="A6" s="190">
        <v>16</v>
      </c>
      <c r="B6" s="2" t="s">
        <v>273</v>
      </c>
      <c r="C6" s="2" t="s">
        <v>4</v>
      </c>
      <c r="D6" s="200" t="s">
        <v>274</v>
      </c>
      <c r="E6" s="174" t="s">
        <v>276</v>
      </c>
      <c r="F6" s="180"/>
      <c r="G6" s="181"/>
      <c r="H6" s="167" t="e">
        <f>IF(G6&lt;F6,1,1-(G6-F6)/F6)</f>
        <v>#DIV/0!</v>
      </c>
      <c r="I6" s="180"/>
      <c r="J6" s="181"/>
      <c r="K6" s="167"/>
      <c r="L6" s="180"/>
      <c r="M6" s="181"/>
      <c r="N6" s="167"/>
      <c r="O6" s="180"/>
      <c r="P6" s="181"/>
      <c r="Q6" s="167"/>
      <c r="R6" s="180"/>
      <c r="S6" s="181"/>
      <c r="T6" s="167"/>
      <c r="U6" s="180"/>
      <c r="V6" s="181"/>
      <c r="W6" s="167"/>
      <c r="X6" s="180"/>
      <c r="Y6" s="181"/>
      <c r="Z6" s="167"/>
      <c r="AA6" s="180"/>
      <c r="AB6" s="181"/>
      <c r="AC6" s="167"/>
      <c r="AD6" s="180"/>
      <c r="AE6" s="181"/>
      <c r="AF6" s="167"/>
      <c r="AG6" s="180"/>
      <c r="AH6" s="181"/>
      <c r="AI6" s="167"/>
      <c r="AJ6" s="180"/>
      <c r="AK6" s="181"/>
      <c r="AL6" s="167"/>
      <c r="AM6" s="180"/>
      <c r="AN6" s="181"/>
      <c r="AO6" s="167"/>
      <c r="AP6" s="180"/>
      <c r="AQ6" s="181"/>
      <c r="AR6" s="167"/>
      <c r="AS6" s="180"/>
      <c r="AT6" s="181"/>
      <c r="AU6" s="167"/>
      <c r="AV6" s="180"/>
      <c r="AW6" s="181"/>
      <c r="AX6" s="167"/>
      <c r="AY6" s="180"/>
      <c r="AZ6" s="181"/>
      <c r="BA6" s="167"/>
      <c r="BB6" s="180"/>
      <c r="BC6" s="181"/>
      <c r="BD6" s="167"/>
      <c r="BE6" s="180"/>
      <c r="BF6" s="181"/>
      <c r="BG6" s="167"/>
      <c r="BH6" s="180"/>
      <c r="BI6" s="181"/>
      <c r="BJ6" s="167"/>
      <c r="BK6" s="180"/>
      <c r="BL6" s="181"/>
      <c r="BM6" s="167"/>
    </row>
    <row r="7" spans="1:65" x14ac:dyDescent="0.25">
      <c r="A7" s="190">
        <v>17</v>
      </c>
      <c r="B7" s="2" t="s">
        <v>273</v>
      </c>
      <c r="C7" s="2" t="s">
        <v>4</v>
      </c>
      <c r="D7" s="200" t="s">
        <v>274</v>
      </c>
      <c r="E7" s="174" t="s">
        <v>277</v>
      </c>
      <c r="F7" s="180"/>
      <c r="G7" s="181"/>
      <c r="H7" s="167" t="e">
        <f t="shared" ref="H7:H10" si="0">IF(G7&lt;F7,1,1-(G7-F7)/F7)</f>
        <v>#DIV/0!</v>
      </c>
      <c r="I7" s="180"/>
      <c r="J7" s="181"/>
      <c r="K7" s="167"/>
      <c r="L7" s="180"/>
      <c r="M7" s="181"/>
      <c r="N7" s="167"/>
      <c r="O7" s="180"/>
      <c r="P7" s="181"/>
      <c r="Q7" s="167"/>
      <c r="R7" s="180"/>
      <c r="S7" s="181"/>
      <c r="T7" s="167"/>
      <c r="U7" s="180"/>
      <c r="V7" s="181"/>
      <c r="W7" s="167"/>
      <c r="X7" s="180"/>
      <c r="Y7" s="181"/>
      <c r="Z7" s="167"/>
      <c r="AA7" s="180"/>
      <c r="AB7" s="181"/>
      <c r="AC7" s="167"/>
      <c r="AD7" s="180"/>
      <c r="AE7" s="181"/>
      <c r="AF7" s="167"/>
      <c r="AG7" s="180"/>
      <c r="AH7" s="181"/>
      <c r="AI7" s="167"/>
      <c r="AJ7" s="180"/>
      <c r="AK7" s="181"/>
      <c r="AL7" s="167"/>
      <c r="AM7" s="180"/>
      <c r="AN7" s="181"/>
      <c r="AO7" s="167"/>
      <c r="AP7" s="180"/>
      <c r="AQ7" s="181"/>
      <c r="AR7" s="167"/>
      <c r="AS7" s="180"/>
      <c r="AT7" s="181"/>
      <c r="AU7" s="167"/>
      <c r="AV7" s="180"/>
      <c r="AW7" s="181"/>
      <c r="AX7" s="167"/>
      <c r="AY7" s="180"/>
      <c r="AZ7" s="181"/>
      <c r="BA7" s="167"/>
      <c r="BB7" s="180"/>
      <c r="BC7" s="181"/>
      <c r="BD7" s="167"/>
      <c r="BE7" s="180"/>
      <c r="BF7" s="181"/>
      <c r="BG7" s="167"/>
      <c r="BH7" s="180"/>
      <c r="BI7" s="181"/>
      <c r="BJ7" s="167"/>
      <c r="BK7" s="180"/>
      <c r="BL7" s="181"/>
      <c r="BM7" s="167"/>
    </row>
    <row r="8" spans="1:65" x14ac:dyDescent="0.25">
      <c r="A8" s="190">
        <v>18</v>
      </c>
      <c r="B8" s="2" t="s">
        <v>273</v>
      </c>
      <c r="C8" s="2" t="s">
        <v>4</v>
      </c>
      <c r="D8" s="200" t="s">
        <v>274</v>
      </c>
      <c r="E8" s="174" t="s">
        <v>278</v>
      </c>
      <c r="F8" s="180"/>
      <c r="G8" s="181"/>
      <c r="H8" s="167">
        <f>IF(G8&gt;0.9,1,G8/0.9)</f>
        <v>0</v>
      </c>
      <c r="I8" s="180"/>
      <c r="J8" s="181"/>
      <c r="K8" s="167"/>
      <c r="L8" s="180"/>
      <c r="M8" s="181"/>
      <c r="N8" s="167"/>
      <c r="O8" s="180"/>
      <c r="P8" s="181"/>
      <c r="Q8" s="167"/>
      <c r="R8" s="180"/>
      <c r="S8" s="181"/>
      <c r="T8" s="167"/>
      <c r="U8" s="180"/>
      <c r="V8" s="181"/>
      <c r="W8" s="167"/>
      <c r="X8" s="180"/>
      <c r="Y8" s="181"/>
      <c r="Z8" s="167"/>
      <c r="AA8" s="180"/>
      <c r="AB8" s="181"/>
      <c r="AC8" s="167"/>
      <c r="AD8" s="180"/>
      <c r="AE8" s="181"/>
      <c r="AF8" s="167"/>
      <c r="AG8" s="180"/>
      <c r="AH8" s="181"/>
      <c r="AI8" s="167"/>
      <c r="AJ8" s="180"/>
      <c r="AK8" s="181"/>
      <c r="AL8" s="167"/>
      <c r="AM8" s="180"/>
      <c r="AN8" s="181"/>
      <c r="AO8" s="167"/>
      <c r="AP8" s="180"/>
      <c r="AQ8" s="181"/>
      <c r="AR8" s="167"/>
      <c r="AS8" s="180"/>
      <c r="AT8" s="181"/>
      <c r="AU8" s="167"/>
      <c r="AV8" s="180"/>
      <c r="AW8" s="181"/>
      <c r="AX8" s="167"/>
      <c r="AY8" s="180"/>
      <c r="AZ8" s="181"/>
      <c r="BA8" s="167"/>
      <c r="BB8" s="180"/>
      <c r="BC8" s="181"/>
      <c r="BD8" s="167"/>
      <c r="BE8" s="180"/>
      <c r="BF8" s="181"/>
      <c r="BG8" s="167"/>
      <c r="BH8" s="180"/>
      <c r="BI8" s="181"/>
      <c r="BJ8" s="167"/>
      <c r="BK8" s="180"/>
      <c r="BL8" s="181"/>
      <c r="BM8" s="167"/>
    </row>
    <row r="9" spans="1:65" x14ac:dyDescent="0.25">
      <c r="A9" s="190">
        <v>19</v>
      </c>
      <c r="B9" s="2" t="s">
        <v>273</v>
      </c>
      <c r="C9" s="2" t="s">
        <v>4</v>
      </c>
      <c r="D9" s="200" t="s">
        <v>275</v>
      </c>
      <c r="E9" s="174" t="s">
        <v>276</v>
      </c>
      <c r="F9" s="180"/>
      <c r="G9" s="181"/>
      <c r="H9" s="167" t="e">
        <f t="shared" si="0"/>
        <v>#DIV/0!</v>
      </c>
      <c r="I9" s="180"/>
      <c r="J9" s="181"/>
      <c r="K9" s="167"/>
      <c r="L9" s="180"/>
      <c r="M9" s="181"/>
      <c r="N9" s="167"/>
      <c r="O9" s="180"/>
      <c r="P9" s="181"/>
      <c r="Q9" s="167"/>
      <c r="R9" s="180"/>
      <c r="S9" s="181"/>
      <c r="T9" s="167"/>
      <c r="U9" s="180"/>
      <c r="V9" s="181"/>
      <c r="W9" s="167"/>
      <c r="X9" s="180"/>
      <c r="Y9" s="181"/>
      <c r="Z9" s="167"/>
      <c r="AA9" s="180"/>
      <c r="AB9" s="181"/>
      <c r="AC9" s="167"/>
      <c r="AD9" s="180"/>
      <c r="AE9" s="181"/>
      <c r="AF9" s="167"/>
      <c r="AG9" s="180"/>
      <c r="AH9" s="181"/>
      <c r="AI9" s="167"/>
      <c r="AJ9" s="180"/>
      <c r="AK9" s="181"/>
      <c r="AL9" s="167"/>
      <c r="AM9" s="180"/>
      <c r="AN9" s="181"/>
      <c r="AO9" s="167"/>
      <c r="AP9" s="180"/>
      <c r="AQ9" s="181"/>
      <c r="AR9" s="167"/>
      <c r="AS9" s="180"/>
      <c r="AT9" s="181"/>
      <c r="AU9" s="167"/>
      <c r="AV9" s="180"/>
      <c r="AW9" s="181"/>
      <c r="AX9" s="167"/>
      <c r="AY9" s="180"/>
      <c r="AZ9" s="181"/>
      <c r="BA9" s="167"/>
      <c r="BB9" s="180"/>
      <c r="BC9" s="181"/>
      <c r="BD9" s="167"/>
      <c r="BE9" s="180"/>
      <c r="BF9" s="181"/>
      <c r="BG9" s="167"/>
      <c r="BH9" s="180"/>
      <c r="BI9" s="181"/>
      <c r="BJ9" s="167"/>
      <c r="BK9" s="180"/>
      <c r="BL9" s="181"/>
      <c r="BM9" s="167"/>
    </row>
    <row r="10" spans="1:65" x14ac:dyDescent="0.25">
      <c r="A10" s="190">
        <v>20</v>
      </c>
      <c r="B10" s="2" t="s">
        <v>273</v>
      </c>
      <c r="C10" s="2" t="s">
        <v>4</v>
      </c>
      <c r="D10" s="200" t="s">
        <v>275</v>
      </c>
      <c r="E10" s="174" t="s">
        <v>277</v>
      </c>
      <c r="F10" s="180"/>
      <c r="G10" s="181"/>
      <c r="H10" s="167" t="e">
        <f t="shared" si="0"/>
        <v>#DIV/0!</v>
      </c>
      <c r="I10" s="180"/>
      <c r="J10" s="181"/>
      <c r="K10" s="167"/>
      <c r="L10" s="180"/>
      <c r="M10" s="181"/>
      <c r="N10" s="167"/>
      <c r="O10" s="180"/>
      <c r="P10" s="181"/>
      <c r="Q10" s="167"/>
      <c r="R10" s="180"/>
      <c r="S10" s="181"/>
      <c r="T10" s="167"/>
      <c r="U10" s="180"/>
      <c r="V10" s="181"/>
      <c r="W10" s="167"/>
      <c r="X10" s="180"/>
      <c r="Y10" s="181"/>
      <c r="Z10" s="167"/>
      <c r="AA10" s="180"/>
      <c r="AB10" s="181"/>
      <c r="AC10" s="167"/>
      <c r="AD10" s="180"/>
      <c r="AE10" s="181"/>
      <c r="AF10" s="167"/>
      <c r="AG10" s="180"/>
      <c r="AH10" s="181"/>
      <c r="AI10" s="167"/>
      <c r="AJ10" s="180"/>
      <c r="AK10" s="181"/>
      <c r="AL10" s="167"/>
      <c r="AM10" s="180"/>
      <c r="AN10" s="181"/>
      <c r="AO10" s="167"/>
      <c r="AP10" s="180"/>
      <c r="AQ10" s="181"/>
      <c r="AR10" s="167"/>
      <c r="AS10" s="180"/>
      <c r="AT10" s="181"/>
      <c r="AU10" s="167"/>
      <c r="AV10" s="180"/>
      <c r="AW10" s="181"/>
      <c r="AX10" s="167"/>
      <c r="AY10" s="180"/>
      <c r="AZ10" s="181"/>
      <c r="BA10" s="167"/>
      <c r="BB10" s="180"/>
      <c r="BC10" s="181"/>
      <c r="BD10" s="167"/>
      <c r="BE10" s="180"/>
      <c r="BF10" s="181"/>
      <c r="BG10" s="167"/>
      <c r="BH10" s="180"/>
      <c r="BI10" s="181"/>
      <c r="BJ10" s="167"/>
      <c r="BK10" s="180"/>
      <c r="BL10" s="181"/>
      <c r="BM10" s="167"/>
    </row>
    <row r="11" spans="1:65" x14ac:dyDescent="0.25">
      <c r="A11" s="190">
        <v>21</v>
      </c>
      <c r="B11" s="2" t="s">
        <v>273</v>
      </c>
      <c r="C11" s="2" t="s">
        <v>4</v>
      </c>
      <c r="D11" s="200" t="s">
        <v>275</v>
      </c>
      <c r="E11" s="174" t="s">
        <v>278</v>
      </c>
      <c r="F11" s="180"/>
      <c r="G11" s="181"/>
      <c r="H11" s="167">
        <f>IF(G11&gt;0.9,1,G11/0.9)</f>
        <v>0</v>
      </c>
      <c r="I11" s="180"/>
      <c r="J11" s="181"/>
      <c r="K11" s="167"/>
      <c r="L11" s="180"/>
      <c r="M11" s="181"/>
      <c r="N11" s="167"/>
      <c r="O11" s="180"/>
      <c r="P11" s="181"/>
      <c r="Q11" s="167"/>
      <c r="R11" s="180"/>
      <c r="S11" s="181"/>
      <c r="T11" s="167"/>
      <c r="U11" s="180"/>
      <c r="V11" s="181"/>
      <c r="W11" s="167"/>
      <c r="X11" s="180"/>
      <c r="Y11" s="181"/>
      <c r="Z11" s="167"/>
      <c r="AA11" s="180"/>
      <c r="AB11" s="181"/>
      <c r="AC11" s="167"/>
      <c r="AD11" s="180"/>
      <c r="AE11" s="181"/>
      <c r="AF11" s="167"/>
      <c r="AG11" s="180"/>
      <c r="AH11" s="181"/>
      <c r="AI11" s="167"/>
      <c r="AJ11" s="180"/>
      <c r="AK11" s="181"/>
      <c r="AL11" s="167"/>
      <c r="AM11" s="180"/>
      <c r="AN11" s="181"/>
      <c r="AO11" s="167"/>
      <c r="AP11" s="180"/>
      <c r="AQ11" s="181"/>
      <c r="AR11" s="167"/>
      <c r="AS11" s="180"/>
      <c r="AT11" s="181"/>
      <c r="AU11" s="167"/>
      <c r="AV11" s="180"/>
      <c r="AW11" s="181"/>
      <c r="AX11" s="167"/>
      <c r="AY11" s="180"/>
      <c r="AZ11" s="181"/>
      <c r="BA11" s="167"/>
      <c r="BB11" s="180"/>
      <c r="BC11" s="181"/>
      <c r="BD11" s="167"/>
      <c r="BE11" s="180"/>
      <c r="BF11" s="181"/>
      <c r="BG11" s="167"/>
      <c r="BH11" s="180"/>
      <c r="BI11" s="181"/>
      <c r="BJ11" s="167"/>
      <c r="BK11" s="180"/>
      <c r="BL11" s="181"/>
      <c r="BM11" s="167"/>
    </row>
    <row r="12" spans="1:65" s="170" customFormat="1" x14ac:dyDescent="0.25">
      <c r="F12" s="173"/>
      <c r="G12" s="177" t="e">
        <f>SUM(#REF!)</f>
        <v>#REF!</v>
      </c>
      <c r="H12" s="177" t="e">
        <f>SUM(#REF!)</f>
        <v>#REF!</v>
      </c>
      <c r="I12" s="177"/>
      <c r="J12" s="177" t="e">
        <f>SUM(#REF!)</f>
        <v>#REF!</v>
      </c>
      <c r="K12" s="177" t="e">
        <f>SUM(#REF!)</f>
        <v>#REF!</v>
      </c>
      <c r="L12" s="177"/>
      <c r="M12" s="177" t="e">
        <f>SUM(#REF!)</f>
        <v>#REF!</v>
      </c>
      <c r="N12" s="177" t="e">
        <f>SUM(#REF!)</f>
        <v>#REF!</v>
      </c>
      <c r="O12" s="177"/>
      <c r="P12" s="177" t="e">
        <f>SUM(#REF!)</f>
        <v>#REF!</v>
      </c>
      <c r="Q12" s="177" t="e">
        <f>SUM(#REF!)</f>
        <v>#REF!</v>
      </c>
      <c r="R12" s="177"/>
      <c r="S12" s="177" t="e">
        <f>SUM(#REF!)</f>
        <v>#REF!</v>
      </c>
      <c r="T12" s="177" t="e">
        <f>SUM(#REF!)</f>
        <v>#REF!</v>
      </c>
      <c r="U12" s="177"/>
      <c r="V12" s="177" t="e">
        <f>SUM(#REF!)</f>
        <v>#REF!</v>
      </c>
      <c r="W12" s="177" t="e">
        <f>SUM(#REF!)</f>
        <v>#REF!</v>
      </c>
      <c r="X12" s="177"/>
      <c r="Y12" s="177" t="e">
        <f>SUM(#REF!)</f>
        <v>#REF!</v>
      </c>
      <c r="Z12" s="177" t="e">
        <f>SUM(#REF!)</f>
        <v>#REF!</v>
      </c>
      <c r="AA12" s="177"/>
      <c r="AB12" s="177" t="e">
        <f>SUM(#REF!)</f>
        <v>#REF!</v>
      </c>
      <c r="AC12" s="177" t="e">
        <f>SUM(#REF!)</f>
        <v>#REF!</v>
      </c>
      <c r="AD12" s="177"/>
      <c r="AE12" s="177" t="e">
        <f>SUM(#REF!)</f>
        <v>#REF!</v>
      </c>
      <c r="AF12" s="177" t="e">
        <f>SUM(#REF!)</f>
        <v>#REF!</v>
      </c>
      <c r="AG12" s="177"/>
      <c r="AH12" s="177" t="e">
        <f>SUM(#REF!)</f>
        <v>#REF!</v>
      </c>
      <c r="AI12" s="177" t="e">
        <f>SUM(#REF!)</f>
        <v>#REF!</v>
      </c>
      <c r="AJ12" s="177"/>
      <c r="AK12" s="177" t="e">
        <f>SUM(#REF!)</f>
        <v>#REF!</v>
      </c>
      <c r="AL12" s="177" t="e">
        <f>SUM(#REF!)</f>
        <v>#REF!</v>
      </c>
      <c r="AM12" s="177"/>
      <c r="AN12" s="177" t="e">
        <f>SUM(#REF!)</f>
        <v>#REF!</v>
      </c>
      <c r="AO12" s="177" t="e">
        <f>SUM(#REF!)</f>
        <v>#REF!</v>
      </c>
      <c r="AP12" s="177"/>
      <c r="AQ12" s="177" t="e">
        <f>SUM(#REF!)</f>
        <v>#REF!</v>
      </c>
      <c r="AR12" s="177" t="e">
        <f>SUM(#REF!)</f>
        <v>#REF!</v>
      </c>
      <c r="AS12" s="177"/>
      <c r="AT12" s="177" t="e">
        <f>SUM(#REF!)</f>
        <v>#REF!</v>
      </c>
      <c r="AU12" s="177" t="e">
        <f>SUM(#REF!)</f>
        <v>#REF!</v>
      </c>
      <c r="AV12" s="177"/>
      <c r="AW12" s="177" t="e">
        <f>SUM(#REF!)</f>
        <v>#REF!</v>
      </c>
      <c r="AX12" s="177" t="e">
        <f>SUM(#REF!)</f>
        <v>#REF!</v>
      </c>
      <c r="AY12" s="177"/>
      <c r="AZ12" s="177" t="e">
        <f>SUM(#REF!)</f>
        <v>#REF!</v>
      </c>
      <c r="BA12" s="177" t="e">
        <f>SUM(#REF!)</f>
        <v>#REF!</v>
      </c>
      <c r="BB12" s="177"/>
      <c r="BC12" s="177" t="e">
        <f>SUM(#REF!)</f>
        <v>#REF!</v>
      </c>
      <c r="BD12" s="177" t="e">
        <f>SUM(#REF!)</f>
        <v>#REF!</v>
      </c>
      <c r="BE12" s="177"/>
      <c r="BF12" s="177" t="e">
        <f>SUM(#REF!)</f>
        <v>#REF!</v>
      </c>
      <c r="BG12" s="177" t="e">
        <f>SUM(#REF!)</f>
        <v>#REF!</v>
      </c>
      <c r="BH12" s="177"/>
      <c r="BI12" s="177" t="e">
        <f>SUM(#REF!)</f>
        <v>#REF!</v>
      </c>
      <c r="BJ12" s="177" t="e">
        <f>SUM(#REF!)</f>
        <v>#REF!</v>
      </c>
      <c r="BK12" s="177"/>
      <c r="BL12" s="177" t="e">
        <f>SUM(#REF!)</f>
        <v>#REF!</v>
      </c>
      <c r="BM12" s="177" t="e">
        <f>SUM(#REF!)</f>
        <v>#REF!</v>
      </c>
    </row>
    <row r="13" spans="1:65" x14ac:dyDescent="0.25">
      <c r="F13" s="168"/>
      <c r="G13" s="168"/>
      <c r="H13" s="169" t="e">
        <f>H12/G12</f>
        <v>#REF!</v>
      </c>
      <c r="I13" s="169"/>
      <c r="J13" s="169"/>
      <c r="K13" s="169" t="e">
        <f t="shared" ref="K13:BM13" si="1">K12/J12</f>
        <v>#REF!</v>
      </c>
      <c r="L13" s="169"/>
      <c r="M13" s="169"/>
      <c r="N13" s="169" t="e">
        <f t="shared" si="1"/>
        <v>#REF!</v>
      </c>
      <c r="O13" s="169"/>
      <c r="P13" s="169"/>
      <c r="Q13" s="169" t="e">
        <f t="shared" si="1"/>
        <v>#REF!</v>
      </c>
      <c r="R13" s="169"/>
      <c r="S13" s="169"/>
      <c r="T13" s="169" t="e">
        <f t="shared" si="1"/>
        <v>#REF!</v>
      </c>
      <c r="U13" s="169"/>
      <c r="V13" s="169"/>
      <c r="W13" s="169" t="e">
        <f t="shared" si="1"/>
        <v>#REF!</v>
      </c>
      <c r="X13" s="169"/>
      <c r="Y13" s="169"/>
      <c r="Z13" s="169" t="e">
        <f t="shared" si="1"/>
        <v>#REF!</v>
      </c>
      <c r="AA13" s="169"/>
      <c r="AB13" s="169"/>
      <c r="AC13" s="169" t="e">
        <f t="shared" si="1"/>
        <v>#REF!</v>
      </c>
      <c r="AD13" s="169"/>
      <c r="AE13" s="169"/>
      <c r="AF13" s="169" t="e">
        <f t="shared" si="1"/>
        <v>#REF!</v>
      </c>
      <c r="AG13" s="169"/>
      <c r="AH13" s="169"/>
      <c r="AI13" s="169" t="e">
        <f t="shared" si="1"/>
        <v>#REF!</v>
      </c>
      <c r="AJ13" s="169"/>
      <c r="AK13" s="169"/>
      <c r="AL13" s="169" t="e">
        <f t="shared" si="1"/>
        <v>#REF!</v>
      </c>
      <c r="AM13" s="169"/>
      <c r="AN13" s="169"/>
      <c r="AO13" s="169" t="e">
        <f t="shared" si="1"/>
        <v>#REF!</v>
      </c>
      <c r="AP13" s="169"/>
      <c r="AQ13" s="169"/>
      <c r="AR13" s="169" t="e">
        <f t="shared" si="1"/>
        <v>#REF!</v>
      </c>
      <c r="AS13" s="169"/>
      <c r="AT13" s="169"/>
      <c r="AU13" s="169" t="e">
        <f t="shared" si="1"/>
        <v>#REF!</v>
      </c>
      <c r="AV13" s="169"/>
      <c r="AW13" s="169"/>
      <c r="AX13" s="169" t="e">
        <f t="shared" si="1"/>
        <v>#REF!</v>
      </c>
      <c r="AY13" s="169"/>
      <c r="AZ13" s="169"/>
      <c r="BA13" s="169" t="e">
        <f t="shared" si="1"/>
        <v>#REF!</v>
      </c>
      <c r="BB13" s="169"/>
      <c r="BC13" s="169"/>
      <c r="BD13" s="169" t="e">
        <f t="shared" si="1"/>
        <v>#REF!</v>
      </c>
      <c r="BE13" s="169"/>
      <c r="BF13" s="169"/>
      <c r="BG13" s="169" t="e">
        <f t="shared" si="1"/>
        <v>#REF!</v>
      </c>
      <c r="BH13" s="169"/>
      <c r="BI13" s="169"/>
      <c r="BJ13" s="169" t="e">
        <f t="shared" si="1"/>
        <v>#REF!</v>
      </c>
      <c r="BK13" s="169"/>
      <c r="BL13" s="169"/>
      <c r="BM13" s="169" t="e">
        <f t="shared" si="1"/>
        <v>#REF!</v>
      </c>
    </row>
    <row r="22" spans="1:65" ht="15.75" thickBot="1" x14ac:dyDescent="0.3"/>
    <row r="23" spans="1:65" ht="27" x14ac:dyDescent="0.25">
      <c r="A23" s="2">
        <v>12</v>
      </c>
      <c r="B23" s="2" t="s">
        <v>3</v>
      </c>
      <c r="C23" s="2" t="s">
        <v>7</v>
      </c>
      <c r="D23" s="2"/>
      <c r="E23" s="3" t="s">
        <v>8</v>
      </c>
      <c r="F23" s="12">
        <f>'OTN Operations'!G26</f>
        <v>0</v>
      </c>
      <c r="G23" s="29"/>
      <c r="H23" s="13"/>
      <c r="I23" s="14">
        <f>'OTN Operations'!H26</f>
        <v>0</v>
      </c>
      <c r="J23" s="14"/>
      <c r="K23" s="15">
        <v>11.018823529411801</v>
      </c>
      <c r="L23" s="16">
        <f>'OTN Operations'!L26</f>
        <v>0</v>
      </c>
      <c r="M23" s="23"/>
      <c r="N23" s="17">
        <v>11.08</v>
      </c>
      <c r="O23" s="18">
        <f>'OTN Operations'!J26</f>
        <v>0</v>
      </c>
      <c r="P23" s="30"/>
      <c r="Q23" s="19">
        <v>11.08</v>
      </c>
      <c r="R23" s="12">
        <f>'OTN Operations'!K26</f>
        <v>0</v>
      </c>
      <c r="S23" s="31"/>
      <c r="T23" s="20">
        <v>11.034674922600599</v>
      </c>
      <c r="U23" s="16">
        <f>'OTN Operations'!M26</f>
        <v>0</v>
      </c>
      <c r="V23" s="27"/>
      <c r="W23" s="21">
        <v>11</v>
      </c>
      <c r="X23" s="16">
        <f>'OTN Operations'!I26</f>
        <v>0</v>
      </c>
      <c r="Y23" s="27"/>
      <c r="Z23" s="22">
        <v>11.014479638009</v>
      </c>
      <c r="AA23" s="23">
        <f>'OTN Operations'!N26</f>
        <v>0</v>
      </c>
      <c r="AB23" s="23"/>
      <c r="AC23" s="21">
        <v>11.08</v>
      </c>
      <c r="AD23" s="16">
        <f>'OTN Operations'!O26</f>
        <v>0</v>
      </c>
      <c r="AE23" s="27"/>
      <c r="AF23" s="21">
        <v>11.047058823529399</v>
      </c>
      <c r="AG23" s="16">
        <f>'OTN Operations'!P26</f>
        <v>0</v>
      </c>
      <c r="AH23" s="27"/>
      <c r="AI23" s="21">
        <v>11.08</v>
      </c>
      <c r="AJ23" s="16">
        <f>'OTN Operations'!Q26</f>
        <v>0</v>
      </c>
      <c r="AK23" s="27"/>
      <c r="AL23" s="21">
        <v>11.08</v>
      </c>
      <c r="AM23" s="16">
        <f>'OTN Operations'!S26</f>
        <v>0</v>
      </c>
      <c r="AN23" s="27"/>
      <c r="AO23" s="21">
        <v>11.08</v>
      </c>
      <c r="AP23" s="24">
        <f>'OTN Operations'!T26</f>
        <v>0</v>
      </c>
      <c r="AQ23" s="28"/>
      <c r="AR23" s="25">
        <v>11.08</v>
      </c>
      <c r="AS23" s="16">
        <f>'OTN Operations'!U26</f>
        <v>0</v>
      </c>
      <c r="AT23" s="27"/>
      <c r="AU23" s="21">
        <v>11.036199095022599</v>
      </c>
      <c r="AV23" s="16">
        <f>'OTN Operations'!V26</f>
        <v>0</v>
      </c>
      <c r="AW23" s="27"/>
      <c r="AX23" s="21">
        <v>11.08</v>
      </c>
      <c r="AY23" s="23">
        <f>'OTN Operations'!W26</f>
        <v>0</v>
      </c>
      <c r="AZ23" s="23"/>
      <c r="BA23" s="21">
        <v>11.08</v>
      </c>
      <c r="BB23" s="16">
        <f>'OTN Operations'!X26</f>
        <v>0</v>
      </c>
      <c r="BC23" s="27"/>
      <c r="BD23" s="21">
        <v>11.08</v>
      </c>
      <c r="BE23" s="26">
        <f>'OTN Operations'!Y26</f>
        <v>0</v>
      </c>
      <c r="BF23" s="23"/>
      <c r="BG23" s="21">
        <v>11.08</v>
      </c>
      <c r="BH23" s="27">
        <f>'OTN Operations'!Z26</f>
        <v>0</v>
      </c>
      <c r="BI23" s="27"/>
      <c r="BJ23" s="21">
        <v>11.08</v>
      </c>
      <c r="BK23" s="27">
        <f>'OTN Operations'!R26</f>
        <v>0</v>
      </c>
      <c r="BL23" s="27"/>
      <c r="BM23" s="21">
        <v>11.08</v>
      </c>
    </row>
  </sheetData>
  <mergeCells count="54">
    <mergeCell ref="AY2:BA2"/>
    <mergeCell ref="BB2:BD2"/>
    <mergeCell ref="BE2:BM2"/>
    <mergeCell ref="F1:T1"/>
    <mergeCell ref="U1:AL1"/>
    <mergeCell ref="AM1:BA1"/>
    <mergeCell ref="BB1:BM1"/>
    <mergeCell ref="F2:N2"/>
    <mergeCell ref="O2:T2"/>
    <mergeCell ref="U2:Z2"/>
    <mergeCell ref="AA2:AF2"/>
    <mergeCell ref="AG2:AL2"/>
    <mergeCell ref="AM2:AR2"/>
    <mergeCell ref="AD3:AF3"/>
    <mergeCell ref="AG3:AI3"/>
    <mergeCell ref="AJ3:AL3"/>
    <mergeCell ref="AM3:AO3"/>
    <mergeCell ref="AS2:AX2"/>
    <mergeCell ref="BH3:BJ3"/>
    <mergeCell ref="BK3:BM3"/>
    <mergeCell ref="AP3:AR3"/>
    <mergeCell ref="AS3:AU3"/>
    <mergeCell ref="AV3:AX3"/>
    <mergeCell ref="AY3:BA3"/>
    <mergeCell ref="BB3:BD3"/>
    <mergeCell ref="BE3:BG3"/>
    <mergeCell ref="BK4:BM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AA4:AC4"/>
    <mergeCell ref="O3:Q3"/>
    <mergeCell ref="O4:Q4"/>
    <mergeCell ref="R3:T3"/>
    <mergeCell ref="R4:T4"/>
    <mergeCell ref="U3:W3"/>
    <mergeCell ref="U4:W4"/>
    <mergeCell ref="X4:Z4"/>
    <mergeCell ref="X3:Z3"/>
    <mergeCell ref="AA3:AC3"/>
    <mergeCell ref="F3:H3"/>
    <mergeCell ref="F4:H4"/>
    <mergeCell ref="I3:K3"/>
    <mergeCell ref="I4:K4"/>
    <mergeCell ref="L3:N3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1F29-A766-477F-B75F-AE1A265D1AA1}">
  <dimension ref="A1:AA31"/>
  <sheetViews>
    <sheetView workbookViewId="0">
      <pane ySplit="3" topLeftCell="A6" activePane="bottomLeft" state="frozen"/>
      <selection activeCell="B1" sqref="B1"/>
      <selection pane="bottomLeft" activeCell="K16" sqref="K16"/>
    </sheetView>
  </sheetViews>
  <sheetFormatPr defaultRowHeight="15" x14ac:dyDescent="0.25"/>
  <cols>
    <col min="1" max="1" width="19.5703125" style="40" customWidth="1"/>
    <col min="2" max="2" width="36.7109375" style="40" customWidth="1"/>
    <col min="3" max="3" width="19.28515625" style="40" customWidth="1"/>
    <col min="4" max="4" width="9" style="40" bestFit="1" customWidth="1"/>
    <col min="5" max="5" width="10.7109375" style="40" customWidth="1"/>
    <col min="6" max="6" width="11.42578125" style="40" bestFit="1" customWidth="1"/>
    <col min="7" max="7" width="12.7109375" style="40" bestFit="1" customWidth="1"/>
    <col min="8" max="8" width="16.42578125" style="40" bestFit="1" customWidth="1"/>
    <col min="9" max="9" width="12.140625" style="40" bestFit="1" customWidth="1"/>
    <col min="10" max="10" width="11.85546875" style="40" customWidth="1"/>
    <col min="11" max="11" width="15.7109375" style="40" bestFit="1" customWidth="1"/>
    <col min="12" max="12" width="11.7109375" style="40" bestFit="1" customWidth="1"/>
    <col min="13" max="13" width="11.5703125" style="40" customWidth="1"/>
    <col min="14" max="14" width="13.5703125" style="40" bestFit="1" customWidth="1"/>
    <col min="15" max="15" width="12.28515625" style="40" bestFit="1" customWidth="1"/>
    <col min="16" max="16" width="11.28515625" style="40" bestFit="1" customWidth="1"/>
    <col min="17" max="17" width="11.5703125" style="40" customWidth="1"/>
    <col min="18" max="18" width="13.140625" style="40" customWidth="1"/>
    <col min="19" max="19" width="13.42578125" style="40" bestFit="1" customWidth="1"/>
    <col min="20" max="20" width="11.5703125" style="40" customWidth="1"/>
    <col min="21" max="21" width="13.42578125" style="40" bestFit="1" customWidth="1"/>
    <col min="22" max="22" width="11.28515625" style="40" bestFit="1" customWidth="1"/>
    <col min="23" max="23" width="12.140625" style="40" bestFit="1" customWidth="1"/>
    <col min="24" max="24" width="13.7109375" style="40" bestFit="1" customWidth="1"/>
    <col min="25" max="25" width="11.28515625" style="40" customWidth="1"/>
    <col min="26" max="26" width="15.28515625" style="40" bestFit="1" customWidth="1"/>
    <col min="27" max="27" width="15.85546875" style="40" bestFit="1" customWidth="1"/>
    <col min="28" max="28" width="9.140625" style="40"/>
    <col min="29" max="29" width="10.140625" style="40" bestFit="1" customWidth="1"/>
    <col min="30" max="16384" width="9.140625" style="40"/>
  </cols>
  <sheetData>
    <row r="1" spans="1:27" ht="19.5" thickBot="1" x14ac:dyDescent="0.3">
      <c r="A1" s="396" t="s">
        <v>81</v>
      </c>
      <c r="B1" s="397"/>
      <c r="C1" s="397"/>
      <c r="D1" s="398"/>
      <c r="F1" s="41" t="s">
        <v>82</v>
      </c>
      <c r="G1" s="299" t="s">
        <v>83</v>
      </c>
      <c r="H1" s="301"/>
      <c r="I1" s="301"/>
      <c r="J1" s="301"/>
      <c r="K1" s="301"/>
      <c r="L1" s="301"/>
      <c r="M1" s="399" t="s">
        <v>84</v>
      </c>
      <c r="N1" s="399"/>
      <c r="O1" s="399"/>
      <c r="P1" s="399"/>
      <c r="Q1" s="399"/>
      <c r="R1" s="399"/>
      <c r="S1" s="309" t="s">
        <v>85</v>
      </c>
      <c r="T1" s="309"/>
      <c r="U1" s="309"/>
      <c r="V1" s="309"/>
      <c r="W1" s="309"/>
      <c r="X1" s="400" t="s">
        <v>86</v>
      </c>
      <c r="Y1" s="400"/>
      <c r="Z1" s="400"/>
      <c r="AA1" s="401" t="s">
        <v>87</v>
      </c>
    </row>
    <row r="2" spans="1:27" ht="15.75" thickBot="1" x14ac:dyDescent="0.3">
      <c r="F2" s="42" t="s">
        <v>88</v>
      </c>
      <c r="G2" s="315" t="s">
        <v>89</v>
      </c>
      <c r="H2" s="317"/>
      <c r="I2" s="317"/>
      <c r="J2" s="317" t="s">
        <v>90</v>
      </c>
      <c r="K2" s="317"/>
      <c r="L2" s="317"/>
      <c r="M2" s="317" t="s">
        <v>91</v>
      </c>
      <c r="N2" s="317"/>
      <c r="O2" s="317"/>
      <c r="P2" s="317" t="s">
        <v>92</v>
      </c>
      <c r="Q2" s="317"/>
      <c r="R2" s="317"/>
      <c r="S2" s="317" t="s">
        <v>93</v>
      </c>
      <c r="T2" s="317"/>
      <c r="U2" s="317" t="s">
        <v>94</v>
      </c>
      <c r="V2" s="317"/>
      <c r="W2" s="317"/>
      <c r="X2" s="43" t="s">
        <v>95</v>
      </c>
      <c r="Y2" s="403" t="s">
        <v>96</v>
      </c>
      <c r="Z2" s="403"/>
      <c r="AA2" s="402"/>
    </row>
    <row r="3" spans="1:27" ht="15.75" thickBot="1" x14ac:dyDescent="0.3">
      <c r="F3" s="42" t="s">
        <v>97</v>
      </c>
      <c r="G3" s="4" t="s">
        <v>98</v>
      </c>
      <c r="H3" s="4" t="s">
        <v>99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4" t="s">
        <v>115</v>
      </c>
      <c r="Y3" s="44" t="s">
        <v>116</v>
      </c>
      <c r="Z3" s="44" t="s">
        <v>117</v>
      </c>
      <c r="AA3" s="402"/>
    </row>
    <row r="4" spans="1:27" ht="15.75" thickBot="1" x14ac:dyDescent="0.3">
      <c r="A4" s="45" t="s">
        <v>118</v>
      </c>
      <c r="B4" s="46" t="s">
        <v>119</v>
      </c>
      <c r="C4" s="46" t="s">
        <v>120</v>
      </c>
      <c r="D4" s="46" t="s">
        <v>121</v>
      </c>
      <c r="E4" s="47" t="s">
        <v>122</v>
      </c>
      <c r="F4" s="42" t="s">
        <v>123</v>
      </c>
      <c r="G4" s="48" t="s">
        <v>45</v>
      </c>
      <c r="H4" s="49" t="s">
        <v>46</v>
      </c>
      <c r="I4" s="50" t="s">
        <v>51</v>
      </c>
      <c r="J4" s="49" t="s">
        <v>48</v>
      </c>
      <c r="K4" s="49" t="s">
        <v>49</v>
      </c>
      <c r="L4" s="49" t="s">
        <v>47</v>
      </c>
      <c r="M4" s="51" t="s">
        <v>50</v>
      </c>
      <c r="N4" s="51" t="s">
        <v>52</v>
      </c>
      <c r="O4" s="51" t="s">
        <v>53</v>
      </c>
      <c r="P4" s="49" t="s">
        <v>124</v>
      </c>
      <c r="Q4" s="49" t="s">
        <v>55</v>
      </c>
      <c r="R4" s="51" t="s">
        <v>64</v>
      </c>
      <c r="S4" s="49" t="s">
        <v>56</v>
      </c>
      <c r="T4" s="49" t="s">
        <v>57</v>
      </c>
      <c r="U4" s="49" t="s">
        <v>58</v>
      </c>
      <c r="V4" s="49" t="s">
        <v>59</v>
      </c>
      <c r="W4" s="49" t="s">
        <v>60</v>
      </c>
      <c r="X4" s="49" t="s">
        <v>61</v>
      </c>
      <c r="Y4" s="49" t="s">
        <v>62</v>
      </c>
      <c r="Z4" s="49" t="s">
        <v>63</v>
      </c>
      <c r="AA4" s="402"/>
    </row>
    <row r="5" spans="1:27" ht="24" x14ac:dyDescent="0.25">
      <c r="A5" s="52">
        <v>8</v>
      </c>
      <c r="B5" s="32" t="s">
        <v>68</v>
      </c>
      <c r="C5" s="53" t="s">
        <v>125</v>
      </c>
      <c r="D5" s="53" t="s">
        <v>126</v>
      </c>
      <c r="E5" s="37" t="s">
        <v>75</v>
      </c>
      <c r="F5" s="54"/>
      <c r="G5" s="204">
        <v>1</v>
      </c>
      <c r="H5" s="204">
        <v>1</v>
      </c>
      <c r="I5" s="243">
        <v>1</v>
      </c>
      <c r="J5" s="239">
        <v>1</v>
      </c>
      <c r="K5" s="55">
        <v>1</v>
      </c>
      <c r="L5" s="244">
        <v>1</v>
      </c>
      <c r="M5" s="245">
        <v>1</v>
      </c>
      <c r="N5" s="55">
        <v>1</v>
      </c>
      <c r="O5" s="243">
        <v>1</v>
      </c>
      <c r="P5" s="239">
        <v>1</v>
      </c>
      <c r="Q5" s="55">
        <v>1</v>
      </c>
      <c r="R5" s="244">
        <v>1</v>
      </c>
      <c r="S5" s="245">
        <v>1</v>
      </c>
      <c r="T5" s="243">
        <v>1</v>
      </c>
      <c r="U5" s="239">
        <v>1</v>
      </c>
      <c r="V5" s="55">
        <v>1</v>
      </c>
      <c r="W5" s="244">
        <v>1</v>
      </c>
      <c r="X5" s="246">
        <v>1</v>
      </c>
      <c r="Y5" s="239">
        <v>1</v>
      </c>
      <c r="Z5" s="243">
        <v>1</v>
      </c>
      <c r="AA5" s="165"/>
    </row>
    <row r="6" spans="1:27" x14ac:dyDescent="0.25">
      <c r="A6" s="52"/>
      <c r="B6" s="56" t="s">
        <v>127</v>
      </c>
      <c r="C6" s="53"/>
      <c r="D6" s="53"/>
      <c r="E6" s="37"/>
      <c r="F6" s="54"/>
      <c r="G6" s="241" t="s">
        <v>128</v>
      </c>
      <c r="H6" s="62">
        <v>0</v>
      </c>
      <c r="I6" s="205">
        <v>0</v>
      </c>
      <c r="J6" s="165">
        <v>0</v>
      </c>
      <c r="K6" s="57">
        <v>0</v>
      </c>
      <c r="L6" s="206">
        <v>0</v>
      </c>
      <c r="M6" s="207">
        <v>0</v>
      </c>
      <c r="N6" s="57">
        <v>0</v>
      </c>
      <c r="O6" s="205">
        <v>0</v>
      </c>
      <c r="P6" s="165">
        <v>0</v>
      </c>
      <c r="Q6" s="57">
        <v>0</v>
      </c>
      <c r="R6" s="206">
        <v>0</v>
      </c>
      <c r="S6" s="207">
        <v>0</v>
      </c>
      <c r="T6" s="205">
        <v>0</v>
      </c>
      <c r="U6" s="165">
        <v>0</v>
      </c>
      <c r="V6" s="57">
        <v>0</v>
      </c>
      <c r="W6" s="206">
        <v>0</v>
      </c>
      <c r="X6" s="208">
        <v>0</v>
      </c>
      <c r="Y6" s="165">
        <v>0</v>
      </c>
      <c r="Z6" s="205">
        <v>0</v>
      </c>
      <c r="AA6" s="165">
        <f t="shared" ref="AA6:AA18" si="0">SUM(G6:Z6)</f>
        <v>0</v>
      </c>
    </row>
    <row r="7" spans="1:27" x14ac:dyDescent="0.25">
      <c r="A7" s="52"/>
      <c r="B7" s="56" t="s">
        <v>129</v>
      </c>
      <c r="C7" s="53"/>
      <c r="D7" s="53"/>
      <c r="E7" s="37"/>
      <c r="F7" s="54"/>
      <c r="G7" s="242">
        <v>86400</v>
      </c>
      <c r="H7" s="62">
        <v>223200</v>
      </c>
      <c r="I7" s="205">
        <v>267840</v>
      </c>
      <c r="J7" s="165">
        <v>223200</v>
      </c>
      <c r="K7" s="57">
        <v>133920</v>
      </c>
      <c r="L7" s="206">
        <v>178560</v>
      </c>
      <c r="M7" s="207">
        <v>267840</v>
      </c>
      <c r="N7" s="57">
        <v>89280</v>
      </c>
      <c r="O7" s="205">
        <v>44640</v>
      </c>
      <c r="P7" s="165">
        <v>133920</v>
      </c>
      <c r="Q7" s="57">
        <v>133920</v>
      </c>
      <c r="R7" s="206">
        <v>267840</v>
      </c>
      <c r="S7" s="207">
        <v>133920</v>
      </c>
      <c r="T7" s="205">
        <v>267840</v>
      </c>
      <c r="U7" s="165">
        <v>178560</v>
      </c>
      <c r="V7" s="57">
        <v>89280</v>
      </c>
      <c r="W7" s="206">
        <v>133920</v>
      </c>
      <c r="X7" s="208">
        <v>267840</v>
      </c>
      <c r="Y7" s="165">
        <v>44640</v>
      </c>
      <c r="Z7" s="205">
        <v>267840</v>
      </c>
      <c r="AA7" s="165">
        <f t="shared" si="0"/>
        <v>3434400</v>
      </c>
    </row>
    <row r="8" spans="1:27" x14ac:dyDescent="0.25">
      <c r="A8" s="52"/>
      <c r="B8" s="56" t="s">
        <v>130</v>
      </c>
      <c r="C8" s="53"/>
      <c r="D8" s="53"/>
      <c r="E8" s="37"/>
      <c r="F8" s="54"/>
      <c r="G8" s="247" t="s">
        <v>131</v>
      </c>
      <c r="H8" s="248">
        <v>3</v>
      </c>
      <c r="I8" s="249">
        <v>6</v>
      </c>
      <c r="J8" s="240">
        <v>5</v>
      </c>
      <c r="K8" s="250">
        <v>3</v>
      </c>
      <c r="L8" s="251">
        <v>4</v>
      </c>
      <c r="M8" s="252">
        <v>6</v>
      </c>
      <c r="N8" s="250">
        <v>2</v>
      </c>
      <c r="O8" s="249">
        <v>1</v>
      </c>
      <c r="P8" s="240">
        <v>3</v>
      </c>
      <c r="Q8" s="250">
        <v>3</v>
      </c>
      <c r="R8" s="251">
        <v>6</v>
      </c>
      <c r="S8" s="252">
        <v>3</v>
      </c>
      <c r="T8" s="249">
        <v>6</v>
      </c>
      <c r="U8" s="240">
        <v>4</v>
      </c>
      <c r="V8" s="250">
        <v>2</v>
      </c>
      <c r="W8" s="251">
        <v>3</v>
      </c>
      <c r="X8" s="253">
        <v>6</v>
      </c>
      <c r="Y8" s="240">
        <v>1</v>
      </c>
      <c r="Z8" s="249">
        <v>6</v>
      </c>
      <c r="AA8" s="165">
        <f t="shared" si="0"/>
        <v>73</v>
      </c>
    </row>
    <row r="9" spans="1:27" ht="24" x14ac:dyDescent="0.25">
      <c r="A9" s="52">
        <v>10</v>
      </c>
      <c r="B9" s="32" t="s">
        <v>265</v>
      </c>
      <c r="C9" s="53" t="s">
        <v>125</v>
      </c>
      <c r="D9" s="53" t="s">
        <v>126</v>
      </c>
      <c r="E9" s="37" t="s">
        <v>77</v>
      </c>
      <c r="F9" s="54"/>
      <c r="G9" s="204">
        <v>0.9999829019360269</v>
      </c>
      <c r="H9" s="204">
        <v>0.99986167478354981</v>
      </c>
      <c r="I9" s="216">
        <v>0.99998524335418004</v>
      </c>
      <c r="J9" s="217">
        <v>0.99981581579841805</v>
      </c>
      <c r="K9" s="204">
        <v>0.9998003412643941</v>
      </c>
      <c r="L9" s="218">
        <v>0.99994243594438337</v>
      </c>
      <c r="M9" s="219">
        <v>0.99995284982976951</v>
      </c>
      <c r="N9" s="204">
        <v>0.99972487403871657</v>
      </c>
      <c r="O9" s="216">
        <v>0.99965062664672788</v>
      </c>
      <c r="P9" s="217">
        <v>0.99983161509401275</v>
      </c>
      <c r="Q9" s="204">
        <v>0.99938903715737093</v>
      </c>
      <c r="R9" s="218">
        <v>0.99976740839604483</v>
      </c>
      <c r="S9" s="219">
        <v>0.99994132491000209</v>
      </c>
      <c r="T9" s="216">
        <v>0.99948744235554643</v>
      </c>
      <c r="U9" s="217">
        <v>0.99983452807646356</v>
      </c>
      <c r="V9" s="216">
        <v>0.99995104102246957</v>
      </c>
      <c r="W9" s="255">
        <v>0.99989805762663153</v>
      </c>
      <c r="X9" s="220">
        <v>0.99957776245048102</v>
      </c>
      <c r="Y9" s="217">
        <v>0.99992278654770073</v>
      </c>
      <c r="Z9" s="216">
        <v>0.99986005905997422</v>
      </c>
      <c r="AA9" s="165"/>
    </row>
    <row r="10" spans="1:27" x14ac:dyDescent="0.25">
      <c r="A10" s="52"/>
      <c r="B10" s="56" t="s">
        <v>133</v>
      </c>
      <c r="C10" s="53"/>
      <c r="D10" s="53"/>
      <c r="E10" s="37"/>
      <c r="F10" s="54"/>
      <c r="G10" s="62">
        <v>5720</v>
      </c>
      <c r="H10" s="62">
        <v>4492</v>
      </c>
      <c r="I10" s="205">
        <v>6711</v>
      </c>
      <c r="J10" s="165">
        <v>739</v>
      </c>
      <c r="K10" s="57">
        <v>10512</v>
      </c>
      <c r="L10" s="206">
        <v>399</v>
      </c>
      <c r="M10" s="207">
        <v>19</v>
      </c>
      <c r="N10" s="57">
        <v>1634</v>
      </c>
      <c r="O10" s="205">
        <v>2228</v>
      </c>
      <c r="P10" s="165">
        <v>10694</v>
      </c>
      <c r="Q10" s="57">
        <v>27216</v>
      </c>
      <c r="R10" s="206">
        <v>14366</v>
      </c>
      <c r="S10" s="207">
        <v>1127</v>
      </c>
      <c r="T10" s="205">
        <v>9201</v>
      </c>
      <c r="U10" s="165">
        <v>3811</v>
      </c>
      <c r="V10" s="57">
        <v>2561</v>
      </c>
      <c r="W10" s="206">
        <v>737</v>
      </c>
      <c r="X10" s="208">
        <v>5374</v>
      </c>
      <c r="Y10" s="165">
        <v>357</v>
      </c>
      <c r="Z10" s="205">
        <v>4804</v>
      </c>
      <c r="AA10" s="165">
        <f t="shared" si="0"/>
        <v>112702</v>
      </c>
    </row>
    <row r="11" spans="1:27" x14ac:dyDescent="0.25">
      <c r="A11" s="52"/>
      <c r="B11" s="56" t="s">
        <v>134</v>
      </c>
      <c r="C11" s="53"/>
      <c r="D11" s="53"/>
      <c r="E11" s="37"/>
      <c r="F11" s="54"/>
      <c r="G11" s="254">
        <v>259</v>
      </c>
      <c r="H11" s="242">
        <v>0</v>
      </c>
      <c r="I11" s="205">
        <v>11295</v>
      </c>
      <c r="J11" s="165">
        <v>435</v>
      </c>
      <c r="K11" s="57">
        <v>9004</v>
      </c>
      <c r="L11" s="206">
        <v>258</v>
      </c>
      <c r="M11" s="207">
        <v>1132</v>
      </c>
      <c r="N11" s="57">
        <v>2877</v>
      </c>
      <c r="O11" s="205">
        <v>1760</v>
      </c>
      <c r="P11" s="165">
        <v>10824</v>
      </c>
      <c r="Q11" s="57">
        <v>17588</v>
      </c>
      <c r="R11" s="206">
        <v>9355</v>
      </c>
      <c r="S11" s="207">
        <v>2166</v>
      </c>
      <c r="T11" s="205">
        <v>10127</v>
      </c>
      <c r="U11" s="165">
        <v>5643</v>
      </c>
      <c r="V11" s="57">
        <v>3533</v>
      </c>
      <c r="W11" s="206">
        <v>2993</v>
      </c>
      <c r="X11" s="208">
        <v>9448</v>
      </c>
      <c r="Y11" s="165">
        <v>1093</v>
      </c>
      <c r="Z11" s="205">
        <v>4268</v>
      </c>
      <c r="AA11" s="165">
        <f t="shared" si="0"/>
        <v>104058</v>
      </c>
    </row>
    <row r="12" spans="1:27" ht="15.75" thickBot="1" x14ac:dyDescent="0.3">
      <c r="A12" s="52"/>
      <c r="B12" s="56" t="s">
        <v>135</v>
      </c>
      <c r="C12" s="53"/>
      <c r="D12" s="53"/>
      <c r="E12" s="37"/>
      <c r="F12" s="54"/>
      <c r="G12" s="256">
        <v>616</v>
      </c>
      <c r="H12" s="256">
        <v>616</v>
      </c>
      <c r="I12" s="210">
        <v>1219</v>
      </c>
      <c r="J12" s="211">
        <v>464</v>
      </c>
      <c r="K12" s="212">
        <v>470</v>
      </c>
      <c r="L12" s="213">
        <v>646</v>
      </c>
      <c r="M12" s="214">
        <v>439</v>
      </c>
      <c r="N12" s="212">
        <v>419</v>
      </c>
      <c r="O12" s="210">
        <v>151</v>
      </c>
      <c r="P12" s="211">
        <v>1407</v>
      </c>
      <c r="Q12" s="212">
        <v>417</v>
      </c>
      <c r="R12" s="213">
        <v>713</v>
      </c>
      <c r="S12" s="214">
        <v>457</v>
      </c>
      <c r="T12" s="210">
        <v>628</v>
      </c>
      <c r="U12" s="211">
        <v>750</v>
      </c>
      <c r="V12" s="212">
        <v>539</v>
      </c>
      <c r="W12" s="213">
        <v>848</v>
      </c>
      <c r="X12" s="215">
        <v>304</v>
      </c>
      <c r="Y12" s="211">
        <v>470</v>
      </c>
      <c r="Z12" s="210">
        <v>494</v>
      </c>
      <c r="AA12" s="165">
        <f t="shared" si="0"/>
        <v>12067</v>
      </c>
    </row>
    <row r="13" spans="1:27" ht="28.5" x14ac:dyDescent="0.25">
      <c r="A13" s="52">
        <v>12</v>
      </c>
      <c r="B13" s="32" t="s">
        <v>136</v>
      </c>
      <c r="C13" s="53" t="s">
        <v>125</v>
      </c>
      <c r="D13" s="53" t="s">
        <v>137</v>
      </c>
      <c r="E13" s="37">
        <v>0.85</v>
      </c>
      <c r="F13" s="54"/>
      <c r="G13" s="204">
        <v>1</v>
      </c>
      <c r="H13" s="204">
        <v>1</v>
      </c>
      <c r="I13" s="216">
        <v>0.14285714285714285</v>
      </c>
      <c r="J13" s="217">
        <v>0.5</v>
      </c>
      <c r="K13" s="204">
        <v>0</v>
      </c>
      <c r="L13" s="218">
        <v>1</v>
      </c>
      <c r="M13" s="219">
        <v>0.75</v>
      </c>
      <c r="N13" s="204">
        <v>1</v>
      </c>
      <c r="O13" s="216">
        <v>0.8</v>
      </c>
      <c r="P13" s="217">
        <v>1</v>
      </c>
      <c r="Q13" s="204">
        <v>0.9464285714285714</v>
      </c>
      <c r="R13" s="218">
        <v>0.52941176470588236</v>
      </c>
      <c r="S13" s="219">
        <v>1</v>
      </c>
      <c r="T13" s="216">
        <v>1</v>
      </c>
      <c r="U13" s="217">
        <v>0.25</v>
      </c>
      <c r="V13" s="204">
        <v>1</v>
      </c>
      <c r="W13" s="218">
        <v>1</v>
      </c>
      <c r="X13" s="220">
        <v>1</v>
      </c>
      <c r="Y13" s="217">
        <v>0.8571428571428571</v>
      </c>
      <c r="Z13" s="216">
        <v>1</v>
      </c>
      <c r="AA13" s="165"/>
    </row>
    <row r="14" spans="1:27" x14ac:dyDescent="0.25">
      <c r="A14" s="52"/>
      <c r="B14" s="56" t="s">
        <v>138</v>
      </c>
      <c r="C14" s="53"/>
      <c r="D14" s="53"/>
      <c r="E14" s="37"/>
      <c r="F14" s="54"/>
      <c r="G14" s="62">
        <v>0</v>
      </c>
      <c r="H14" s="62">
        <v>0</v>
      </c>
      <c r="I14" s="205">
        <v>7</v>
      </c>
      <c r="J14" s="165">
        <v>2</v>
      </c>
      <c r="K14" s="57">
        <v>5</v>
      </c>
      <c r="L14" s="206">
        <v>0</v>
      </c>
      <c r="M14" s="207">
        <v>4</v>
      </c>
      <c r="N14" s="57">
        <v>11</v>
      </c>
      <c r="O14" s="205">
        <v>5</v>
      </c>
      <c r="P14" s="165">
        <v>4</v>
      </c>
      <c r="Q14" s="57">
        <v>56</v>
      </c>
      <c r="R14" s="206">
        <v>17</v>
      </c>
      <c r="S14" s="207">
        <v>1</v>
      </c>
      <c r="T14" s="205">
        <v>0</v>
      </c>
      <c r="U14" s="165">
        <v>8</v>
      </c>
      <c r="V14" s="57">
        <v>4</v>
      </c>
      <c r="W14" s="206">
        <v>5</v>
      </c>
      <c r="X14" s="208">
        <v>0</v>
      </c>
      <c r="Y14" s="165">
        <v>7</v>
      </c>
      <c r="Z14" s="205">
        <v>26</v>
      </c>
      <c r="AA14" s="165">
        <f t="shared" si="0"/>
        <v>162</v>
      </c>
    </row>
    <row r="15" spans="1:27" ht="15.75" thickBot="1" x14ac:dyDescent="0.3">
      <c r="A15" s="52"/>
      <c r="B15" s="56" t="s">
        <v>139</v>
      </c>
      <c r="C15" s="53"/>
      <c r="D15" s="53"/>
      <c r="E15" s="37"/>
      <c r="F15" s="54"/>
      <c r="G15" s="209">
        <v>0</v>
      </c>
      <c r="H15" s="209">
        <v>0</v>
      </c>
      <c r="I15" s="210">
        <v>1</v>
      </c>
      <c r="J15" s="211">
        <v>1</v>
      </c>
      <c r="K15" s="212">
        <v>0</v>
      </c>
      <c r="L15" s="213">
        <v>0</v>
      </c>
      <c r="M15" s="214">
        <v>3</v>
      </c>
      <c r="N15" s="212">
        <v>11</v>
      </c>
      <c r="O15" s="210">
        <v>4</v>
      </c>
      <c r="P15" s="211">
        <v>4</v>
      </c>
      <c r="Q15" s="212">
        <v>53</v>
      </c>
      <c r="R15" s="213">
        <v>9</v>
      </c>
      <c r="S15" s="214">
        <v>1</v>
      </c>
      <c r="T15" s="210">
        <v>0</v>
      </c>
      <c r="U15" s="211">
        <v>2</v>
      </c>
      <c r="V15" s="212">
        <v>4</v>
      </c>
      <c r="W15" s="213">
        <v>5</v>
      </c>
      <c r="X15" s="215">
        <v>0</v>
      </c>
      <c r="Y15" s="211">
        <v>6</v>
      </c>
      <c r="Z15" s="210">
        <v>26</v>
      </c>
      <c r="AA15" s="165">
        <f t="shared" si="0"/>
        <v>130</v>
      </c>
    </row>
    <row r="16" spans="1:27" ht="28.5" x14ac:dyDescent="0.25">
      <c r="A16" s="52">
        <v>13</v>
      </c>
      <c r="B16" s="32" t="s">
        <v>140</v>
      </c>
      <c r="C16" s="53" t="s">
        <v>125</v>
      </c>
      <c r="D16" s="53" t="s">
        <v>137</v>
      </c>
      <c r="E16" s="37">
        <v>0.8</v>
      </c>
      <c r="F16" s="54"/>
      <c r="G16" s="204">
        <v>1</v>
      </c>
      <c r="H16" s="204">
        <v>1</v>
      </c>
      <c r="I16" s="216">
        <v>1</v>
      </c>
      <c r="J16" s="217">
        <v>1</v>
      </c>
      <c r="K16" s="204">
        <v>0</v>
      </c>
      <c r="L16" s="218">
        <v>1</v>
      </c>
      <c r="M16" s="219">
        <v>1</v>
      </c>
      <c r="N16" s="204">
        <v>1</v>
      </c>
      <c r="O16" s="216">
        <v>1</v>
      </c>
      <c r="P16" s="217">
        <v>0.9</v>
      </c>
      <c r="Q16" s="204">
        <v>0.83333333333333337</v>
      </c>
      <c r="R16" s="218">
        <v>1</v>
      </c>
      <c r="S16" s="219">
        <v>1</v>
      </c>
      <c r="T16" s="216">
        <v>0.8214285714285714</v>
      </c>
      <c r="U16" s="217">
        <v>0</v>
      </c>
      <c r="V16" s="204">
        <v>1</v>
      </c>
      <c r="W16" s="218">
        <v>0.875</v>
      </c>
      <c r="X16" s="220">
        <v>1</v>
      </c>
      <c r="Y16" s="217">
        <v>1</v>
      </c>
      <c r="Z16" s="216">
        <v>0.8</v>
      </c>
      <c r="AA16" s="165"/>
    </row>
    <row r="17" spans="1:27" x14ac:dyDescent="0.25">
      <c r="A17" s="52"/>
      <c r="B17" s="56" t="s">
        <v>138</v>
      </c>
      <c r="C17" s="53"/>
      <c r="D17" s="53"/>
      <c r="E17" s="37"/>
      <c r="F17" s="54"/>
      <c r="G17" s="221">
        <v>1</v>
      </c>
      <c r="H17" s="62">
        <v>0</v>
      </c>
      <c r="I17" s="205">
        <v>0</v>
      </c>
      <c r="J17" s="165">
        <v>0</v>
      </c>
      <c r="K17" s="57">
        <v>8</v>
      </c>
      <c r="L17" s="206">
        <v>1</v>
      </c>
      <c r="M17" s="207">
        <v>0</v>
      </c>
      <c r="N17" s="57">
        <v>4</v>
      </c>
      <c r="O17" s="205">
        <v>1</v>
      </c>
      <c r="P17" s="165">
        <v>30</v>
      </c>
      <c r="Q17" s="57">
        <v>24</v>
      </c>
      <c r="R17" s="206">
        <v>15</v>
      </c>
      <c r="S17" s="207">
        <v>6</v>
      </c>
      <c r="T17" s="205">
        <v>28</v>
      </c>
      <c r="U17" s="165">
        <v>2</v>
      </c>
      <c r="V17" s="57">
        <v>8</v>
      </c>
      <c r="W17" s="206">
        <v>8</v>
      </c>
      <c r="X17" s="208">
        <v>31</v>
      </c>
      <c r="Y17" s="165">
        <v>0</v>
      </c>
      <c r="Z17" s="205">
        <v>5</v>
      </c>
      <c r="AA17" s="165">
        <f t="shared" si="0"/>
        <v>172</v>
      </c>
    </row>
    <row r="18" spans="1:27" ht="15.75" thickBot="1" x14ac:dyDescent="0.3">
      <c r="A18" s="52"/>
      <c r="B18" s="56" t="s">
        <v>139</v>
      </c>
      <c r="C18" s="53"/>
      <c r="D18" s="53"/>
      <c r="E18" s="37"/>
      <c r="F18" s="54"/>
      <c r="G18" s="209">
        <v>1</v>
      </c>
      <c r="H18" s="209">
        <v>0</v>
      </c>
      <c r="I18" s="210">
        <v>0</v>
      </c>
      <c r="J18" s="211">
        <v>0</v>
      </c>
      <c r="K18" s="212">
        <v>0</v>
      </c>
      <c r="L18" s="213">
        <v>1</v>
      </c>
      <c r="M18" s="214">
        <v>0</v>
      </c>
      <c r="N18" s="212">
        <v>4</v>
      </c>
      <c r="O18" s="210">
        <v>1</v>
      </c>
      <c r="P18" s="211">
        <v>27</v>
      </c>
      <c r="Q18" s="212">
        <v>20</v>
      </c>
      <c r="R18" s="213">
        <v>15</v>
      </c>
      <c r="S18" s="214">
        <v>6</v>
      </c>
      <c r="T18" s="210">
        <v>23</v>
      </c>
      <c r="U18" s="211">
        <v>0</v>
      </c>
      <c r="V18" s="212">
        <v>8</v>
      </c>
      <c r="W18" s="213">
        <v>7</v>
      </c>
      <c r="X18" s="215">
        <v>31</v>
      </c>
      <c r="Y18" s="211">
        <v>0</v>
      </c>
      <c r="Z18" s="210">
        <v>4</v>
      </c>
      <c r="AA18" s="165">
        <f t="shared" si="0"/>
        <v>148</v>
      </c>
    </row>
    <row r="19" spans="1:27" ht="15.75" thickBot="1" x14ac:dyDescent="0.3">
      <c r="B19" s="58"/>
      <c r="C19" s="59"/>
      <c r="D19" s="59"/>
      <c r="E19" s="60"/>
      <c r="F19" s="61"/>
      <c r="G19" s="209"/>
      <c r="H19" s="209"/>
      <c r="I19" s="210"/>
      <c r="J19" s="211"/>
      <c r="K19" s="212"/>
      <c r="L19" s="213"/>
      <c r="M19" s="214"/>
      <c r="N19" s="212"/>
      <c r="O19" s="210"/>
      <c r="P19" s="211"/>
      <c r="Q19" s="212"/>
      <c r="R19" s="213"/>
      <c r="S19" s="214"/>
      <c r="T19" s="210"/>
      <c r="U19" s="211"/>
      <c r="V19" s="212"/>
      <c r="W19" s="213"/>
      <c r="X19" s="215"/>
      <c r="Y19" s="211"/>
      <c r="Z19" s="210"/>
      <c r="AA19" s="63"/>
    </row>
    <row r="20" spans="1:27" x14ac:dyDescent="0.25">
      <c r="A20" s="57"/>
      <c r="B20" s="64" t="s">
        <v>141</v>
      </c>
      <c r="C20" s="53"/>
      <c r="D20" s="53"/>
      <c r="E20" s="54"/>
      <c r="F20" s="54"/>
      <c r="G20" s="204"/>
      <c r="H20" s="204"/>
      <c r="I20" s="216"/>
      <c r="J20" s="217"/>
      <c r="K20" s="204"/>
      <c r="L20" s="218"/>
      <c r="M20" s="219"/>
      <c r="N20" s="204"/>
      <c r="O20" s="216"/>
      <c r="P20" s="217"/>
      <c r="Q20" s="204"/>
      <c r="R20" s="218"/>
      <c r="S20" s="219"/>
      <c r="T20" s="216"/>
      <c r="U20" s="217"/>
      <c r="V20" s="204"/>
      <c r="W20" s="218"/>
      <c r="X20" s="220"/>
      <c r="Y20" s="217"/>
      <c r="Z20" s="216"/>
      <c r="AA20" s="65"/>
    </row>
    <row r="21" spans="1:27" x14ac:dyDescent="0.25">
      <c r="A21" s="57"/>
      <c r="B21" s="66" t="s">
        <v>142</v>
      </c>
      <c r="C21" s="53"/>
      <c r="D21" s="67"/>
      <c r="E21" s="66"/>
      <c r="F21" s="57"/>
      <c r="G21" s="221"/>
      <c r="H21" s="62"/>
      <c r="I21" s="205"/>
      <c r="J21" s="165"/>
      <c r="K21" s="57"/>
      <c r="L21" s="206"/>
      <c r="M21" s="207"/>
      <c r="N21" s="57"/>
      <c r="O21" s="205"/>
      <c r="P21" s="165"/>
      <c r="Q21" s="57"/>
      <c r="R21" s="206"/>
      <c r="S21" s="207"/>
      <c r="T21" s="205"/>
      <c r="U21" s="165"/>
      <c r="V21" s="57"/>
      <c r="W21" s="206"/>
      <c r="X21" s="208"/>
      <c r="Y21" s="165"/>
      <c r="Z21" s="205"/>
      <c r="AA21" s="57"/>
    </row>
    <row r="22" spans="1:27" ht="15.75" thickBot="1" x14ac:dyDescent="0.3">
      <c r="A22" s="57"/>
      <c r="B22" s="66" t="s">
        <v>143</v>
      </c>
      <c r="C22" s="53"/>
      <c r="D22" s="67"/>
      <c r="E22" s="66"/>
      <c r="F22" s="57"/>
      <c r="G22" s="209"/>
      <c r="H22" s="209"/>
      <c r="I22" s="210"/>
      <c r="J22" s="211"/>
      <c r="K22" s="212"/>
      <c r="L22" s="213"/>
      <c r="M22" s="214"/>
      <c r="N22" s="212"/>
      <c r="O22" s="210"/>
      <c r="P22" s="211"/>
      <c r="Q22" s="212"/>
      <c r="R22" s="213"/>
      <c r="S22" s="214"/>
      <c r="T22" s="210"/>
      <c r="U22" s="211"/>
      <c r="V22" s="212"/>
      <c r="W22" s="213"/>
      <c r="X22" s="215"/>
      <c r="Y22" s="211"/>
      <c r="Z22" s="210"/>
      <c r="AA22" s="57"/>
    </row>
    <row r="23" spans="1:27" ht="30" x14ac:dyDescent="0.25">
      <c r="A23" s="57"/>
      <c r="B23" s="32" t="s">
        <v>144</v>
      </c>
      <c r="C23" s="53" t="s">
        <v>125</v>
      </c>
      <c r="D23" s="67" t="s">
        <v>145</v>
      </c>
      <c r="E23" s="68">
        <v>100</v>
      </c>
      <c r="F23" s="57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27" s="70" customFormat="1" ht="30" x14ac:dyDescent="0.25">
      <c r="A24" s="69"/>
      <c r="B24" s="32" t="s">
        <v>146</v>
      </c>
      <c r="C24" s="53" t="s">
        <v>125</v>
      </c>
      <c r="D24" s="67" t="s">
        <v>145</v>
      </c>
      <c r="E24" s="68">
        <v>100</v>
      </c>
      <c r="F24" s="69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6" spans="1:27" x14ac:dyDescent="0.25">
      <c r="G26"/>
      <c r="H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7" s="74" customFormat="1" ht="30" x14ac:dyDescent="0.25">
      <c r="A27" s="71"/>
      <c r="B27" s="35" t="s">
        <v>72</v>
      </c>
      <c r="C27" s="72" t="s">
        <v>125</v>
      </c>
      <c r="D27" s="73" t="s">
        <v>145</v>
      </c>
      <c r="E27" s="71"/>
      <c r="F27" s="71"/>
      <c r="G27" s="222">
        <v>1</v>
      </c>
      <c r="H27" s="223">
        <v>1</v>
      </c>
      <c r="I27" s="223">
        <v>1</v>
      </c>
      <c r="J27" s="223">
        <v>1</v>
      </c>
      <c r="K27" s="223">
        <v>1</v>
      </c>
      <c r="L27" s="223">
        <v>1</v>
      </c>
      <c r="M27" s="223">
        <v>1</v>
      </c>
      <c r="N27" s="223">
        <v>1</v>
      </c>
      <c r="O27" s="223">
        <v>1</v>
      </c>
      <c r="P27" s="223">
        <v>1</v>
      </c>
      <c r="Q27" s="223">
        <v>1</v>
      </c>
      <c r="R27" s="223">
        <v>1</v>
      </c>
      <c r="S27" s="223">
        <v>1</v>
      </c>
      <c r="T27" s="223">
        <v>1</v>
      </c>
      <c r="U27" s="223">
        <v>1</v>
      </c>
      <c r="V27" s="223">
        <v>1</v>
      </c>
      <c r="W27" s="223">
        <v>1</v>
      </c>
      <c r="X27" s="223">
        <v>1</v>
      </c>
      <c r="Y27" s="223">
        <v>1</v>
      </c>
      <c r="Z27" s="223">
        <v>1</v>
      </c>
      <c r="AA27" s="223">
        <v>1</v>
      </c>
    </row>
    <row r="28" spans="1:27" x14ac:dyDescent="0.25">
      <c r="A28" s="57"/>
      <c r="B28" s="75" t="s">
        <v>127</v>
      </c>
      <c r="C28" s="57"/>
      <c r="D28" s="57"/>
      <c r="E28" s="57"/>
      <c r="F28" s="57"/>
      <c r="G28" s="57"/>
      <c r="H28" s="57">
        <v>0</v>
      </c>
      <c r="I28" s="57"/>
      <c r="J28" s="57">
        <v>0</v>
      </c>
      <c r="K28" s="57">
        <v>0</v>
      </c>
      <c r="L28" s="57"/>
      <c r="M28" s="57"/>
      <c r="N28" s="57"/>
      <c r="O28" s="57"/>
      <c r="P28" s="57"/>
      <c r="Q28" s="57"/>
      <c r="R28" s="57"/>
      <c r="S28" s="57"/>
      <c r="T28" s="57">
        <v>0</v>
      </c>
      <c r="U28" s="57">
        <v>0</v>
      </c>
      <c r="V28" s="57">
        <v>0</v>
      </c>
      <c r="W28" s="57">
        <v>0</v>
      </c>
      <c r="X28" s="57"/>
      <c r="Y28" s="57"/>
      <c r="Z28" s="57"/>
      <c r="AA28" s="57">
        <v>0</v>
      </c>
    </row>
    <row r="29" spans="1:27" x14ac:dyDescent="0.25">
      <c r="A29" s="57"/>
      <c r="B29" s="75" t="s">
        <v>129</v>
      </c>
      <c r="C29" s="57"/>
      <c r="D29" s="57"/>
      <c r="E29" s="57"/>
      <c r="F29" s="57"/>
      <c r="G29" s="76">
        <v>0</v>
      </c>
      <c r="H29" s="57">
        <v>714240</v>
      </c>
      <c r="I29" s="57">
        <v>0</v>
      </c>
      <c r="J29" s="57">
        <v>357120</v>
      </c>
      <c r="K29" s="57">
        <v>89280</v>
      </c>
      <c r="L29" s="57">
        <v>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89280</v>
      </c>
      <c r="U29" s="57">
        <v>580320</v>
      </c>
      <c r="V29" s="57">
        <v>178560</v>
      </c>
      <c r="W29" s="57">
        <v>133920</v>
      </c>
      <c r="X29" s="57">
        <v>0</v>
      </c>
      <c r="Y29" s="57">
        <v>0</v>
      </c>
      <c r="Z29" s="57">
        <v>0</v>
      </c>
      <c r="AA29" s="57">
        <v>2142720</v>
      </c>
    </row>
    <row r="30" spans="1:27" x14ac:dyDescent="0.25">
      <c r="A30" s="57"/>
      <c r="B30" s="75" t="s">
        <v>130</v>
      </c>
      <c r="C30" s="57"/>
      <c r="D30" s="57"/>
      <c r="E30" s="57"/>
      <c r="F30" s="57"/>
      <c r="G30" s="57">
        <v>0</v>
      </c>
      <c r="H30" s="57">
        <v>16</v>
      </c>
      <c r="I30" s="57">
        <v>0</v>
      </c>
      <c r="J30" s="57">
        <v>8</v>
      </c>
      <c r="K30" s="57">
        <v>2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2</v>
      </c>
      <c r="U30" s="57">
        <v>13</v>
      </c>
      <c r="V30" s="57">
        <v>4</v>
      </c>
      <c r="W30" s="57">
        <v>3</v>
      </c>
      <c r="X30" s="57">
        <v>0</v>
      </c>
      <c r="Y30" s="57">
        <v>0</v>
      </c>
      <c r="Z30" s="57">
        <v>0</v>
      </c>
      <c r="AA30" s="57">
        <v>48</v>
      </c>
    </row>
    <row r="31" spans="1:27" x14ac:dyDescent="0.25">
      <c r="G31" s="40">
        <v>1</v>
      </c>
      <c r="H31" s="40">
        <v>2</v>
      </c>
      <c r="I31" s="40">
        <v>3</v>
      </c>
      <c r="J31" s="40">
        <v>5</v>
      </c>
      <c r="K31" s="40">
        <v>6</v>
      </c>
      <c r="L31" s="40">
        <v>7</v>
      </c>
      <c r="M31" s="40">
        <v>8</v>
      </c>
      <c r="N31" s="40">
        <v>9</v>
      </c>
      <c r="O31" s="40">
        <v>10</v>
      </c>
      <c r="P31" s="40">
        <v>11</v>
      </c>
      <c r="Q31" s="40">
        <v>12</v>
      </c>
      <c r="R31" s="40">
        <v>13</v>
      </c>
      <c r="S31" s="40">
        <v>15</v>
      </c>
      <c r="T31" s="40">
        <v>15</v>
      </c>
      <c r="U31" s="40">
        <v>16</v>
      </c>
      <c r="V31" s="40">
        <v>17</v>
      </c>
      <c r="W31" s="40">
        <v>18</v>
      </c>
      <c r="X31" s="40">
        <v>19</v>
      </c>
      <c r="Y31" s="40">
        <v>20</v>
      </c>
      <c r="Z31" s="40">
        <v>21</v>
      </c>
    </row>
  </sheetData>
  <mergeCells count="13">
    <mergeCell ref="AA1:AA4"/>
    <mergeCell ref="G2:I2"/>
    <mergeCell ref="J2:L2"/>
    <mergeCell ref="M2:O2"/>
    <mergeCell ref="P2:R2"/>
    <mergeCell ref="S2:T2"/>
    <mergeCell ref="U2:W2"/>
    <mergeCell ref="Y2:Z2"/>
    <mergeCell ref="A1:D1"/>
    <mergeCell ref="G1:L1"/>
    <mergeCell ref="M1:R1"/>
    <mergeCell ref="S1:W1"/>
    <mergeCell ref="X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FA7-3721-4AD9-9178-087228ED3C1F}">
  <dimension ref="A1:AA39"/>
  <sheetViews>
    <sheetView workbookViewId="0">
      <selection activeCell="H15" sqref="H15"/>
    </sheetView>
  </sheetViews>
  <sheetFormatPr defaultRowHeight="15" x14ac:dyDescent="0.25"/>
  <cols>
    <col min="1" max="1" width="3.28515625" style="40" customWidth="1"/>
    <col min="2" max="2" width="38.28515625" style="97" customWidth="1"/>
    <col min="3" max="3" width="19.28515625" style="40" customWidth="1"/>
    <col min="4" max="4" width="11" style="40" customWidth="1"/>
    <col min="5" max="5" width="10.7109375" style="40" customWidth="1"/>
    <col min="6" max="6" width="11.42578125" style="40" bestFit="1" customWidth="1"/>
    <col min="7" max="7" width="16.85546875" style="40" bestFit="1" customWidth="1"/>
    <col min="8" max="8" width="16.85546875" style="40" customWidth="1"/>
    <col min="9" max="9" width="17.85546875" style="40" bestFit="1" customWidth="1"/>
    <col min="10" max="10" width="17.140625" style="40" bestFit="1" customWidth="1"/>
    <col min="11" max="11" width="17.7109375" style="40" customWidth="1"/>
    <col min="12" max="12" width="20.42578125" style="40" customWidth="1"/>
    <col min="13" max="14" width="17.85546875" style="40" bestFit="1" customWidth="1"/>
    <col min="15" max="15" width="21.7109375" style="40" customWidth="1"/>
    <col min="16" max="19" width="17.85546875" style="40" bestFit="1" customWidth="1"/>
    <col min="20" max="20" width="17.85546875" style="40" customWidth="1"/>
    <col min="21" max="21" width="17.85546875" style="40" bestFit="1" customWidth="1"/>
    <col min="22" max="22" width="17.140625" style="40" bestFit="1" customWidth="1"/>
    <col min="23" max="23" width="17.85546875" style="40" bestFit="1" customWidth="1"/>
    <col min="24" max="24" width="17.140625" style="40" bestFit="1" customWidth="1"/>
    <col min="25" max="25" width="17.85546875" style="40" bestFit="1" customWidth="1"/>
    <col min="26" max="26" width="18.42578125" style="40" bestFit="1" customWidth="1"/>
    <col min="27" max="27" width="14" style="40" customWidth="1"/>
    <col min="28" max="28" width="13.140625" style="40" customWidth="1"/>
    <col min="29" max="29" width="10.140625" style="40" bestFit="1" customWidth="1"/>
    <col min="30" max="16384" width="9.140625" style="40"/>
  </cols>
  <sheetData>
    <row r="1" spans="1:27" ht="15.75" thickBot="1" x14ac:dyDescent="0.3"/>
    <row r="2" spans="1:27" ht="19.5" thickBot="1" x14ac:dyDescent="0.3">
      <c r="A2" s="396" t="s">
        <v>207</v>
      </c>
      <c r="B2" s="397"/>
      <c r="C2" s="397"/>
      <c r="D2" s="398"/>
      <c r="F2" s="41" t="s">
        <v>82</v>
      </c>
      <c r="G2" s="299" t="s">
        <v>83</v>
      </c>
      <c r="H2" s="301"/>
      <c r="I2" s="301"/>
      <c r="J2" s="301"/>
      <c r="K2" s="301"/>
      <c r="L2" s="301"/>
      <c r="M2" s="399" t="s">
        <v>84</v>
      </c>
      <c r="N2" s="399"/>
      <c r="O2" s="399"/>
      <c r="P2" s="399"/>
      <c r="Q2" s="399"/>
      <c r="R2" s="399"/>
      <c r="S2" s="309" t="s">
        <v>85</v>
      </c>
      <c r="T2" s="309"/>
      <c r="U2" s="309"/>
      <c r="V2" s="309"/>
      <c r="W2" s="309"/>
      <c r="X2" s="400" t="s">
        <v>86</v>
      </c>
      <c r="Y2" s="400"/>
      <c r="Z2" s="400"/>
      <c r="AA2" s="404" t="s">
        <v>87</v>
      </c>
    </row>
    <row r="3" spans="1:27" ht="15.75" thickBot="1" x14ac:dyDescent="0.3">
      <c r="F3" s="42" t="s">
        <v>88</v>
      </c>
      <c r="G3" s="315" t="s">
        <v>89</v>
      </c>
      <c r="H3" s="317"/>
      <c r="I3" s="317"/>
      <c r="J3" s="317" t="s">
        <v>90</v>
      </c>
      <c r="K3" s="317"/>
      <c r="L3" s="317"/>
      <c r="M3" s="317" t="s">
        <v>91</v>
      </c>
      <c r="N3" s="317"/>
      <c r="O3" s="317"/>
      <c r="P3" s="317" t="s">
        <v>92</v>
      </c>
      <c r="Q3" s="317"/>
      <c r="R3" s="317"/>
      <c r="S3" s="317" t="s">
        <v>93</v>
      </c>
      <c r="T3" s="317"/>
      <c r="U3" s="317" t="s">
        <v>94</v>
      </c>
      <c r="V3" s="317"/>
      <c r="W3" s="317"/>
      <c r="X3" s="43" t="s">
        <v>95</v>
      </c>
      <c r="Y3" s="403" t="s">
        <v>96</v>
      </c>
      <c r="Z3" s="403"/>
      <c r="AA3" s="405"/>
    </row>
    <row r="4" spans="1:27" ht="15.75" thickBot="1" x14ac:dyDescent="0.3">
      <c r="F4" s="42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4" t="s">
        <v>115</v>
      </c>
      <c r="Y4" s="44" t="s">
        <v>116</v>
      </c>
      <c r="Z4" s="44" t="s">
        <v>117</v>
      </c>
      <c r="AA4" s="405"/>
    </row>
    <row r="5" spans="1:27" ht="15.75" thickBot="1" x14ac:dyDescent="0.3">
      <c r="A5" s="145" t="s">
        <v>118</v>
      </c>
      <c r="B5" s="146" t="s">
        <v>208</v>
      </c>
      <c r="C5" s="147" t="s">
        <v>209</v>
      </c>
      <c r="D5" s="147" t="s">
        <v>210</v>
      </c>
      <c r="E5" s="148" t="s">
        <v>122</v>
      </c>
      <c r="F5" s="42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405"/>
    </row>
    <row r="6" spans="1:27" x14ac:dyDescent="0.25">
      <c r="A6" s="149"/>
      <c r="B6" s="150" t="s">
        <v>211</v>
      </c>
      <c r="C6" s="151"/>
      <c r="D6" s="151"/>
      <c r="E6" s="152"/>
      <c r="F6" s="153"/>
      <c r="G6" s="154"/>
      <c r="H6" s="155"/>
      <c r="I6" s="155"/>
      <c r="J6" s="155"/>
      <c r="K6" s="155"/>
      <c r="L6" s="155"/>
      <c r="M6" s="154"/>
      <c r="N6" s="155"/>
      <c r="O6" s="155"/>
      <c r="P6" s="154"/>
      <c r="Q6" s="155"/>
      <c r="R6" s="155"/>
      <c r="S6" s="154"/>
      <c r="T6" s="154"/>
      <c r="U6" s="155"/>
      <c r="V6" s="154"/>
      <c r="W6" s="155"/>
      <c r="X6" s="155"/>
      <c r="Y6" s="155"/>
      <c r="Z6" s="155"/>
      <c r="AA6" s="156"/>
    </row>
    <row r="7" spans="1:27" ht="45" x14ac:dyDescent="0.25">
      <c r="A7" s="52">
        <v>1</v>
      </c>
      <c r="B7" s="157" t="s">
        <v>212</v>
      </c>
      <c r="C7" s="53" t="s">
        <v>213</v>
      </c>
      <c r="D7" s="158">
        <v>0.6</v>
      </c>
      <c r="E7" s="37" t="s">
        <v>214</v>
      </c>
      <c r="F7" s="54"/>
      <c r="G7" s="224">
        <v>0.5</v>
      </c>
      <c r="H7" s="224">
        <v>0.36</v>
      </c>
      <c r="I7" s="110">
        <v>0.49090909090909091</v>
      </c>
      <c r="J7" s="110">
        <v>0.6</v>
      </c>
      <c r="K7" s="110">
        <v>0</v>
      </c>
      <c r="L7" s="110">
        <v>0.44999999999999996</v>
      </c>
      <c r="M7" s="110">
        <v>0.6</v>
      </c>
      <c r="N7" s="110">
        <v>0.49090909090909091</v>
      </c>
      <c r="O7" s="110">
        <v>0.6</v>
      </c>
      <c r="P7" s="110">
        <v>0.55200000000000005</v>
      </c>
      <c r="Q7" s="110">
        <v>0.5</v>
      </c>
      <c r="R7" s="110">
        <v>0.6</v>
      </c>
      <c r="S7" s="110">
        <v>0.6</v>
      </c>
      <c r="T7" s="110">
        <v>0.6</v>
      </c>
      <c r="U7" s="110">
        <v>0.44999999999999996</v>
      </c>
      <c r="V7" s="110">
        <v>0.6</v>
      </c>
      <c r="W7" s="110">
        <v>0.6</v>
      </c>
      <c r="X7" s="110">
        <v>0.6</v>
      </c>
      <c r="Y7" s="110">
        <v>0.6</v>
      </c>
      <c r="Z7" s="110">
        <v>0.6</v>
      </c>
      <c r="AA7" s="92"/>
    </row>
    <row r="8" spans="1:27" ht="30" x14ac:dyDescent="0.25">
      <c r="A8" s="52">
        <v>2</v>
      </c>
      <c r="B8" s="157" t="s">
        <v>215</v>
      </c>
      <c r="C8" s="53" t="s">
        <v>213</v>
      </c>
      <c r="D8" s="158">
        <v>0.1</v>
      </c>
      <c r="E8" s="37" t="s">
        <v>214</v>
      </c>
      <c r="F8" s="54"/>
      <c r="G8" s="55">
        <v>8.3333333333333343E-2</v>
      </c>
      <c r="H8" s="55">
        <v>0.06</v>
      </c>
      <c r="I8" s="110">
        <v>8.1818181818181832E-2</v>
      </c>
      <c r="J8" s="110">
        <v>0.1</v>
      </c>
      <c r="K8" s="110">
        <v>0</v>
      </c>
      <c r="L8" s="110">
        <v>7.5000000000000011E-2</v>
      </c>
      <c r="M8" s="110">
        <v>0.1</v>
      </c>
      <c r="N8" s="110">
        <v>8.1818181818181832E-2</v>
      </c>
      <c r="O8" s="110">
        <v>0.1</v>
      </c>
      <c r="P8" s="110">
        <v>9.2000000000000012E-2</v>
      </c>
      <c r="Q8" s="110">
        <v>8.3333333333333343E-2</v>
      </c>
      <c r="R8" s="110">
        <v>0.1</v>
      </c>
      <c r="S8" s="110">
        <v>0.1</v>
      </c>
      <c r="T8" s="110">
        <v>0.1</v>
      </c>
      <c r="U8" s="110">
        <v>7.5000000000000011E-2</v>
      </c>
      <c r="V8" s="110">
        <v>0.1</v>
      </c>
      <c r="W8" s="110">
        <v>0.1</v>
      </c>
      <c r="X8" s="110">
        <v>0.1</v>
      </c>
      <c r="Y8" s="110">
        <v>0.1</v>
      </c>
      <c r="Z8" s="110">
        <v>0.1</v>
      </c>
      <c r="AA8" s="92"/>
    </row>
    <row r="9" spans="1:27" ht="30" x14ac:dyDescent="0.25">
      <c r="A9" s="52">
        <v>3</v>
      </c>
      <c r="B9" s="157" t="s">
        <v>216</v>
      </c>
      <c r="C9" s="53" t="s">
        <v>213</v>
      </c>
      <c r="D9" s="158">
        <v>0.31</v>
      </c>
      <c r="E9" s="37" t="s">
        <v>214</v>
      </c>
      <c r="F9" s="54"/>
      <c r="G9" s="110">
        <v>0.25</v>
      </c>
      <c r="H9" s="110">
        <v>0.18</v>
      </c>
      <c r="I9" s="110">
        <v>0.24545454545454545</v>
      </c>
      <c r="J9" s="110">
        <v>0.3</v>
      </c>
      <c r="K9" s="110">
        <v>0</v>
      </c>
      <c r="L9" s="110">
        <v>0.22499999999999998</v>
      </c>
      <c r="M9" s="110">
        <v>0.3</v>
      </c>
      <c r="N9" s="110">
        <v>0.24545454545454545</v>
      </c>
      <c r="O9" s="110">
        <v>0.3</v>
      </c>
      <c r="P9" s="110">
        <v>0.27600000000000002</v>
      </c>
      <c r="Q9" s="110">
        <v>0.25</v>
      </c>
      <c r="R9" s="110">
        <v>0.3</v>
      </c>
      <c r="S9" s="110">
        <v>0.3</v>
      </c>
      <c r="T9" s="110">
        <v>0.3</v>
      </c>
      <c r="U9" s="110">
        <v>0.22499999999999998</v>
      </c>
      <c r="V9" s="110">
        <v>0.3</v>
      </c>
      <c r="W9" s="110">
        <v>0.3</v>
      </c>
      <c r="X9" s="110">
        <v>0.3</v>
      </c>
      <c r="Y9" s="110">
        <v>0.3</v>
      </c>
      <c r="Z9" s="110">
        <v>0.3</v>
      </c>
      <c r="AA9" s="92"/>
    </row>
    <row r="10" spans="1:27" x14ac:dyDescent="0.25">
      <c r="A10" s="52"/>
      <c r="B10" s="157"/>
      <c r="C10" s="53"/>
      <c r="D10" s="53"/>
      <c r="E10" s="37"/>
      <c r="F10" s="54"/>
      <c r="G10" s="93"/>
      <c r="H10" s="110"/>
      <c r="I10" s="93"/>
      <c r="J10" s="93"/>
      <c r="K10" s="159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2"/>
    </row>
    <row r="11" spans="1:27" x14ac:dyDescent="0.25">
      <c r="A11" s="52"/>
      <c r="B11" s="157"/>
      <c r="C11" s="53"/>
      <c r="D11" s="53"/>
      <c r="E11" s="37"/>
      <c r="F11" s="54"/>
      <c r="G11" s="93"/>
      <c r="H11" s="110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2"/>
    </row>
    <row r="12" spans="1:27" x14ac:dyDescent="0.25">
      <c r="A12" s="52"/>
      <c r="B12" s="157"/>
      <c r="C12" s="53"/>
      <c r="D12" s="53"/>
      <c r="E12" s="37"/>
      <c r="F12" s="54"/>
      <c r="G12" s="160"/>
      <c r="H12" s="110"/>
      <c r="I12" s="93"/>
      <c r="J12" s="93"/>
      <c r="K12" s="160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160"/>
      <c r="AA12" s="92"/>
    </row>
    <row r="13" spans="1:27" x14ac:dyDescent="0.25">
      <c r="A13" s="52"/>
      <c r="B13" s="161"/>
      <c r="C13" s="53"/>
      <c r="D13" s="53"/>
      <c r="E13" s="37"/>
      <c r="F13" s="54"/>
      <c r="G13" s="87"/>
      <c r="H13" s="57"/>
      <c r="I13" s="88"/>
      <c r="J13" s="88"/>
      <c r="K13" s="162"/>
      <c r="L13" s="88"/>
      <c r="M13" s="88"/>
      <c r="N13" s="87"/>
      <c r="O13" s="88"/>
      <c r="P13" s="88"/>
      <c r="Q13" s="88"/>
      <c r="R13" s="88"/>
      <c r="S13" s="88"/>
      <c r="T13" s="88"/>
      <c r="U13" s="88"/>
      <c r="V13" s="88"/>
      <c r="W13" s="89"/>
      <c r="X13" s="88"/>
      <c r="Y13" s="88"/>
      <c r="Z13" s="88"/>
      <c r="AA13" s="163"/>
    </row>
    <row r="14" spans="1:27" x14ac:dyDescent="0.25">
      <c r="A14" s="52"/>
      <c r="B14" s="157"/>
      <c r="C14" s="53"/>
      <c r="D14" s="53"/>
      <c r="E14" s="37"/>
      <c r="F14" s="54"/>
      <c r="G14" s="90"/>
      <c r="H14" s="57"/>
      <c r="I14" s="92"/>
      <c r="J14" s="92"/>
      <c r="K14" s="93"/>
      <c r="L14" s="91"/>
      <c r="M14" s="92"/>
      <c r="N14" s="92"/>
      <c r="O14" s="92"/>
      <c r="P14" s="92"/>
      <c r="Q14" s="92"/>
      <c r="R14" s="92"/>
      <c r="S14" s="92"/>
      <c r="T14" s="92"/>
      <c r="U14" s="92"/>
      <c r="V14" s="69"/>
      <c r="W14" s="93"/>
      <c r="X14" s="92"/>
      <c r="Y14" s="92"/>
      <c r="Z14" s="94"/>
      <c r="AA14" s="93"/>
    </row>
    <row r="15" spans="1:27" x14ac:dyDescent="0.25">
      <c r="A15" s="52"/>
      <c r="B15" s="157"/>
      <c r="C15" s="53"/>
      <c r="D15" s="53"/>
      <c r="E15" s="37"/>
      <c r="F15" s="54"/>
      <c r="G15" s="69"/>
      <c r="H15" s="57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3"/>
    </row>
    <row r="16" spans="1:27" x14ac:dyDescent="0.25">
      <c r="A16" s="52"/>
      <c r="B16" s="157"/>
      <c r="C16" s="53"/>
      <c r="D16" s="53"/>
      <c r="E16" s="37"/>
      <c r="F16" s="54"/>
      <c r="G16" s="95"/>
      <c r="H16" s="57"/>
      <c r="I16" s="92"/>
      <c r="J16" s="69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4"/>
      <c r="AA16" s="93"/>
    </row>
    <row r="19" spans="3:11" x14ac:dyDescent="0.25">
      <c r="C19" s="176" t="s">
        <v>220</v>
      </c>
      <c r="D19">
        <v>15</v>
      </c>
      <c r="G19" s="96"/>
    </row>
    <row r="20" spans="3:11" x14ac:dyDescent="0.25">
      <c r="C20" s="176" t="s">
        <v>221</v>
      </c>
      <c r="D20">
        <v>23</v>
      </c>
      <c r="J20" s="98"/>
      <c r="K20" s="98"/>
    </row>
    <row r="21" spans="3:11" x14ac:dyDescent="0.25">
      <c r="C21" s="176" t="s">
        <v>222</v>
      </c>
      <c r="D21">
        <v>28</v>
      </c>
    </row>
    <row r="22" spans="3:11" x14ac:dyDescent="0.25">
      <c r="C22" s="176" t="s">
        <v>223</v>
      </c>
      <c r="D22">
        <v>27</v>
      </c>
    </row>
    <row r="23" spans="3:11" x14ac:dyDescent="0.25">
      <c r="C23" s="176" t="s">
        <v>224</v>
      </c>
      <c r="D23">
        <v>28</v>
      </c>
    </row>
    <row r="24" spans="3:11" x14ac:dyDescent="0.25">
      <c r="C24" s="176" t="s">
        <v>225</v>
      </c>
      <c r="D24">
        <v>10</v>
      </c>
    </row>
    <row r="25" spans="3:11" x14ac:dyDescent="0.25">
      <c r="C25" s="176" t="s">
        <v>226</v>
      </c>
      <c r="D25">
        <v>11</v>
      </c>
      <c r="E25" s="97"/>
    </row>
    <row r="26" spans="3:11" x14ac:dyDescent="0.25">
      <c r="C26" s="176" t="s">
        <v>227</v>
      </c>
      <c r="D26">
        <v>9</v>
      </c>
    </row>
    <row r="27" spans="3:11" x14ac:dyDescent="0.25">
      <c r="C27" s="176" t="s">
        <v>228</v>
      </c>
      <c r="D27">
        <v>11</v>
      </c>
    </row>
    <row r="28" spans="3:11" x14ac:dyDescent="0.25">
      <c r="C28" s="176" t="s">
        <v>229</v>
      </c>
      <c r="D28">
        <v>29</v>
      </c>
    </row>
    <row r="29" spans="3:11" x14ac:dyDescent="0.25">
      <c r="C29" s="176" t="s">
        <v>230</v>
      </c>
      <c r="D29">
        <v>16</v>
      </c>
    </row>
    <row r="30" spans="3:11" x14ac:dyDescent="0.25">
      <c r="C30" s="176" t="s">
        <v>231</v>
      </c>
      <c r="D30">
        <v>19</v>
      </c>
    </row>
    <row r="31" spans="3:11" x14ac:dyDescent="0.25">
      <c r="C31" s="176" t="s">
        <v>232</v>
      </c>
      <c r="D31">
        <v>7</v>
      </c>
    </row>
    <row r="32" spans="3:11" x14ac:dyDescent="0.25">
      <c r="C32" s="176" t="s">
        <v>233</v>
      </c>
      <c r="D32">
        <v>4</v>
      </c>
    </row>
    <row r="33" spans="3:4" x14ac:dyDescent="0.25">
      <c r="C33" s="176" t="s">
        <v>234</v>
      </c>
      <c r="D33">
        <v>4</v>
      </c>
    </row>
    <row r="34" spans="3:4" x14ac:dyDescent="0.25">
      <c r="C34" s="176" t="s">
        <v>235</v>
      </c>
      <c r="D34">
        <v>10</v>
      </c>
    </row>
    <row r="35" spans="3:4" x14ac:dyDescent="0.25">
      <c r="C35" s="176" t="s">
        <v>236</v>
      </c>
      <c r="D35">
        <v>11</v>
      </c>
    </row>
    <row r="36" spans="3:4" x14ac:dyDescent="0.25">
      <c r="C36" s="176" t="s">
        <v>237</v>
      </c>
      <c r="D36">
        <v>5</v>
      </c>
    </row>
    <row r="37" spans="3:4" x14ac:dyDescent="0.25">
      <c r="C37" s="176" t="s">
        <v>238</v>
      </c>
      <c r="D37">
        <v>5</v>
      </c>
    </row>
    <row r="38" spans="3:4" x14ac:dyDescent="0.25">
      <c r="C38" s="176" t="s">
        <v>239</v>
      </c>
      <c r="D38">
        <v>3</v>
      </c>
    </row>
    <row r="39" spans="3:4" x14ac:dyDescent="0.25">
      <c r="D39" s="40">
        <f>SUM(D19:D38)</f>
        <v>275</v>
      </c>
    </row>
  </sheetData>
  <mergeCells count="13">
    <mergeCell ref="AA2:AA5"/>
    <mergeCell ref="G3:I3"/>
    <mergeCell ref="J3:L3"/>
    <mergeCell ref="M3:O3"/>
    <mergeCell ref="P3:R3"/>
    <mergeCell ref="S3:T3"/>
    <mergeCell ref="U3:W3"/>
    <mergeCell ref="Y3:Z3"/>
    <mergeCell ref="A2:D2"/>
    <mergeCell ref="G2:L2"/>
    <mergeCell ref="M2:R2"/>
    <mergeCell ref="S2:W2"/>
    <mergeCell ref="X2:Z2"/>
  </mergeCells>
  <conditionalFormatting sqref="C19:C38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EC25-7C33-4B88-84BE-0590ADD417AF}">
  <dimension ref="A1:AA26"/>
  <sheetViews>
    <sheetView topLeftCell="A3" workbookViewId="0">
      <selection activeCell="I19" sqref="I19"/>
    </sheetView>
  </sheetViews>
  <sheetFormatPr defaultRowHeight="15" x14ac:dyDescent="0.25"/>
  <cols>
    <col min="1" max="1" width="3.28515625" style="40" customWidth="1"/>
    <col min="2" max="2" width="36.7109375" style="40" customWidth="1"/>
    <col min="3" max="3" width="19.28515625" style="40" customWidth="1"/>
    <col min="4" max="4" width="11" style="40" customWidth="1"/>
    <col min="5" max="5" width="10.7109375" style="40" customWidth="1"/>
    <col min="6" max="6" width="11.42578125" style="40" bestFit="1" customWidth="1"/>
    <col min="7" max="7" width="16.85546875" style="40" bestFit="1" customWidth="1"/>
    <col min="8" max="8" width="16.85546875" style="40" customWidth="1"/>
    <col min="9" max="9" width="17.85546875" style="40" bestFit="1" customWidth="1"/>
    <col min="10" max="10" width="17.140625" style="40" bestFit="1" customWidth="1"/>
    <col min="11" max="11" width="17.7109375" style="40" customWidth="1"/>
    <col min="12" max="12" width="20.42578125" style="40" customWidth="1"/>
    <col min="13" max="14" width="17.85546875" style="40" bestFit="1" customWidth="1"/>
    <col min="15" max="15" width="21.7109375" style="40" customWidth="1"/>
    <col min="16" max="19" width="17.85546875" style="40" bestFit="1" customWidth="1"/>
    <col min="20" max="20" width="17.85546875" style="40" customWidth="1"/>
    <col min="21" max="21" width="17.85546875" style="40" bestFit="1" customWidth="1"/>
    <col min="22" max="22" width="17.140625" style="40" bestFit="1" customWidth="1"/>
    <col min="23" max="23" width="17.85546875" style="40" bestFit="1" customWidth="1"/>
    <col min="24" max="24" width="17.140625" style="40" bestFit="1" customWidth="1"/>
    <col min="25" max="25" width="17.85546875" style="40" bestFit="1" customWidth="1"/>
    <col min="26" max="26" width="17.140625" style="40" bestFit="1" customWidth="1"/>
    <col min="27" max="27" width="14" style="40" customWidth="1"/>
    <col min="28" max="28" width="13.140625" style="40" customWidth="1"/>
    <col min="29" max="29" width="10.140625" style="40" bestFit="1" customWidth="1"/>
    <col min="30" max="16384" width="9.140625" style="40"/>
  </cols>
  <sheetData>
    <row r="1" spans="1:27" ht="15.75" thickBot="1" x14ac:dyDescent="0.3"/>
    <row r="2" spans="1:27" ht="19.5" thickBot="1" x14ac:dyDescent="0.3">
      <c r="A2" s="396" t="s">
        <v>147</v>
      </c>
      <c r="B2" s="397"/>
      <c r="C2" s="397"/>
      <c r="D2" s="398"/>
      <c r="F2" s="41" t="s">
        <v>82</v>
      </c>
      <c r="G2" s="299" t="s">
        <v>83</v>
      </c>
      <c r="H2" s="301"/>
      <c r="I2" s="301"/>
      <c r="J2" s="301"/>
      <c r="K2" s="301"/>
      <c r="L2" s="301"/>
      <c r="M2" s="399" t="s">
        <v>84</v>
      </c>
      <c r="N2" s="399"/>
      <c r="O2" s="399"/>
      <c r="P2" s="399"/>
      <c r="Q2" s="399"/>
      <c r="R2" s="399"/>
      <c r="S2" s="309" t="s">
        <v>85</v>
      </c>
      <c r="T2" s="309"/>
      <c r="U2" s="309"/>
      <c r="V2" s="309"/>
      <c r="W2" s="309"/>
      <c r="X2" s="400" t="s">
        <v>86</v>
      </c>
      <c r="Y2" s="400"/>
      <c r="Z2" s="400"/>
      <c r="AA2" s="404" t="s">
        <v>87</v>
      </c>
    </row>
    <row r="3" spans="1:27" ht="15.75" thickBot="1" x14ac:dyDescent="0.3">
      <c r="F3" s="42" t="s">
        <v>88</v>
      </c>
      <c r="G3" s="315" t="s">
        <v>89</v>
      </c>
      <c r="H3" s="317"/>
      <c r="I3" s="317"/>
      <c r="J3" s="317" t="s">
        <v>90</v>
      </c>
      <c r="K3" s="317"/>
      <c r="L3" s="317"/>
      <c r="M3" s="317" t="s">
        <v>91</v>
      </c>
      <c r="N3" s="317"/>
      <c r="O3" s="317"/>
      <c r="P3" s="317" t="s">
        <v>92</v>
      </c>
      <c r="Q3" s="317"/>
      <c r="R3" s="317"/>
      <c r="S3" s="317" t="s">
        <v>93</v>
      </c>
      <c r="T3" s="317"/>
      <c r="U3" s="317" t="s">
        <v>94</v>
      </c>
      <c r="V3" s="317"/>
      <c r="W3" s="317"/>
      <c r="X3" s="43" t="s">
        <v>95</v>
      </c>
      <c r="Y3" s="403" t="s">
        <v>96</v>
      </c>
      <c r="Z3" s="403"/>
      <c r="AA3" s="405"/>
    </row>
    <row r="4" spans="1:27" ht="15.75" thickBot="1" x14ac:dyDescent="0.3">
      <c r="F4" s="42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4" t="s">
        <v>115</v>
      </c>
      <c r="Y4" s="44" t="s">
        <v>116</v>
      </c>
      <c r="Z4" s="44" t="s">
        <v>117</v>
      </c>
      <c r="AA4" s="405"/>
    </row>
    <row r="5" spans="1:27" ht="15.75" thickBot="1" x14ac:dyDescent="0.3">
      <c r="A5" s="45" t="s">
        <v>118</v>
      </c>
      <c r="B5" s="46" t="s">
        <v>119</v>
      </c>
      <c r="C5" s="46" t="s">
        <v>120</v>
      </c>
      <c r="D5" s="46" t="s">
        <v>121</v>
      </c>
      <c r="E5" s="47" t="s">
        <v>122</v>
      </c>
      <c r="F5" s="42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405"/>
    </row>
    <row r="6" spans="1:27" ht="24" x14ac:dyDescent="0.25">
      <c r="A6" s="52">
        <v>8</v>
      </c>
      <c r="B6" s="33" t="s">
        <v>69</v>
      </c>
      <c r="C6" s="77" t="s">
        <v>125</v>
      </c>
      <c r="D6" s="77" t="s">
        <v>149</v>
      </c>
      <c r="E6" s="38" t="s">
        <v>75</v>
      </c>
      <c r="F6" s="78"/>
      <c r="G6" s="225">
        <v>1</v>
      </c>
      <c r="H6" s="234">
        <v>1</v>
      </c>
      <c r="I6" s="234">
        <v>1</v>
      </c>
      <c r="J6" s="234">
        <v>1</v>
      </c>
      <c r="K6" s="234">
        <v>1</v>
      </c>
      <c r="L6" s="234">
        <v>1</v>
      </c>
      <c r="M6" s="234">
        <v>1</v>
      </c>
      <c r="N6" s="236">
        <v>1</v>
      </c>
      <c r="O6" s="234">
        <v>1</v>
      </c>
      <c r="P6" s="236">
        <v>1</v>
      </c>
      <c r="Q6" s="234">
        <v>1</v>
      </c>
      <c r="R6" s="234">
        <v>1</v>
      </c>
      <c r="S6" s="234">
        <v>1</v>
      </c>
      <c r="T6" s="225">
        <v>1</v>
      </c>
      <c r="U6" s="234">
        <v>1</v>
      </c>
      <c r="V6" s="234">
        <v>1</v>
      </c>
      <c r="W6" s="225">
        <v>1</v>
      </c>
      <c r="X6" s="234">
        <v>1</v>
      </c>
      <c r="Y6" s="234">
        <v>1</v>
      </c>
      <c r="Z6" s="234">
        <v>1</v>
      </c>
      <c r="AA6" s="79">
        <v>1</v>
      </c>
    </row>
    <row r="7" spans="1:27" x14ac:dyDescent="0.25">
      <c r="A7" s="52"/>
      <c r="B7" s="80" t="s">
        <v>127</v>
      </c>
      <c r="C7" s="77"/>
      <c r="D7" s="77"/>
      <c r="E7" s="38"/>
      <c r="F7" s="78"/>
      <c r="G7" s="227">
        <v>0</v>
      </c>
      <c r="H7" s="226" t="s">
        <v>150</v>
      </c>
      <c r="I7" s="227" t="s">
        <v>150</v>
      </c>
      <c r="J7" s="227" t="s">
        <v>150</v>
      </c>
      <c r="K7" s="227" t="s">
        <v>150</v>
      </c>
      <c r="L7" s="227" t="s">
        <v>150</v>
      </c>
      <c r="M7" s="227" t="s">
        <v>150</v>
      </c>
      <c r="N7" s="227">
        <v>0</v>
      </c>
      <c r="O7" s="227" t="s">
        <v>150</v>
      </c>
      <c r="P7" s="227">
        <v>0</v>
      </c>
      <c r="Q7" s="227" t="s">
        <v>150</v>
      </c>
      <c r="R7" s="227" t="s">
        <v>150</v>
      </c>
      <c r="S7" s="227" t="s">
        <v>150</v>
      </c>
      <c r="T7" s="227">
        <v>0</v>
      </c>
      <c r="U7" s="227" t="s">
        <v>150</v>
      </c>
      <c r="V7" s="227" t="s">
        <v>150</v>
      </c>
      <c r="W7" s="227">
        <v>0</v>
      </c>
      <c r="X7" s="227" t="s">
        <v>150</v>
      </c>
      <c r="Y7" s="227" t="s">
        <v>150</v>
      </c>
      <c r="Z7" s="227" t="s">
        <v>150</v>
      </c>
      <c r="AA7" s="81">
        <v>0</v>
      </c>
    </row>
    <row r="8" spans="1:27" x14ac:dyDescent="0.25">
      <c r="A8" s="52"/>
      <c r="B8" s="80" t="s">
        <v>129</v>
      </c>
      <c r="C8" s="77"/>
      <c r="D8" s="77"/>
      <c r="E8" s="38"/>
      <c r="F8" s="78"/>
      <c r="G8" s="227">
        <v>89280</v>
      </c>
      <c r="H8" s="226" t="s">
        <v>150</v>
      </c>
      <c r="I8" s="227" t="s">
        <v>150</v>
      </c>
      <c r="J8" s="227" t="s">
        <v>150</v>
      </c>
      <c r="K8" s="227" t="s">
        <v>150</v>
      </c>
      <c r="L8" s="227" t="s">
        <v>150</v>
      </c>
      <c r="M8" s="227" t="s">
        <v>150</v>
      </c>
      <c r="N8" s="227">
        <v>44640</v>
      </c>
      <c r="O8" s="227" t="s">
        <v>150</v>
      </c>
      <c r="P8" s="227">
        <v>44640</v>
      </c>
      <c r="Q8" s="227" t="s">
        <v>150</v>
      </c>
      <c r="R8" s="227" t="s">
        <v>150</v>
      </c>
      <c r="S8" s="227" t="s">
        <v>150</v>
      </c>
      <c r="T8" s="227">
        <v>44640</v>
      </c>
      <c r="U8" s="227" t="s">
        <v>150</v>
      </c>
      <c r="V8" s="227" t="s">
        <v>150</v>
      </c>
      <c r="W8" s="227">
        <v>44640</v>
      </c>
      <c r="X8" s="227" t="s">
        <v>150</v>
      </c>
      <c r="Y8" s="227" t="s">
        <v>150</v>
      </c>
      <c r="Z8" s="227" t="s">
        <v>150</v>
      </c>
      <c r="AA8" s="81">
        <v>259200</v>
      </c>
    </row>
    <row r="9" spans="1:27" x14ac:dyDescent="0.25">
      <c r="A9" s="52"/>
      <c r="B9" s="80" t="s">
        <v>130</v>
      </c>
      <c r="C9" s="77"/>
      <c r="D9" s="77"/>
      <c r="E9" s="38"/>
      <c r="F9" s="78"/>
      <c r="G9" s="227">
        <v>2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1</v>
      </c>
      <c r="O9" s="227">
        <v>0</v>
      </c>
      <c r="P9" s="227">
        <v>1</v>
      </c>
      <c r="Q9" s="227">
        <v>0</v>
      </c>
      <c r="R9" s="227">
        <v>0</v>
      </c>
      <c r="S9" s="227">
        <v>0</v>
      </c>
      <c r="T9" s="227">
        <v>1</v>
      </c>
      <c r="U9" s="227">
        <v>0</v>
      </c>
      <c r="V9" s="227">
        <v>0</v>
      </c>
      <c r="W9" s="227">
        <v>1</v>
      </c>
      <c r="X9" s="227">
        <v>0</v>
      </c>
      <c r="Y9" s="227">
        <v>0</v>
      </c>
      <c r="Z9" s="227">
        <v>0</v>
      </c>
      <c r="AA9" s="81">
        <v>6</v>
      </c>
    </row>
    <row r="10" spans="1:27" ht="24" x14ac:dyDescent="0.25">
      <c r="A10" s="52">
        <v>9</v>
      </c>
      <c r="B10" s="34" t="s">
        <v>70</v>
      </c>
      <c r="C10" s="82" t="s">
        <v>125</v>
      </c>
      <c r="D10" s="82" t="s">
        <v>149</v>
      </c>
      <c r="E10" s="39" t="s">
        <v>77</v>
      </c>
      <c r="F10" s="83"/>
      <c r="G10" s="228">
        <v>1</v>
      </c>
      <c r="H10" s="234">
        <v>1</v>
      </c>
      <c r="I10" s="228">
        <v>1</v>
      </c>
      <c r="J10" s="228">
        <v>1</v>
      </c>
      <c r="K10" s="228">
        <v>1</v>
      </c>
      <c r="L10" s="228">
        <v>1</v>
      </c>
      <c r="M10" s="233">
        <v>1</v>
      </c>
      <c r="N10" s="235">
        <v>1</v>
      </c>
      <c r="O10" s="228">
        <v>1</v>
      </c>
      <c r="P10" s="228">
        <v>1</v>
      </c>
      <c r="Q10" s="228">
        <v>1</v>
      </c>
      <c r="R10" s="228">
        <v>1</v>
      </c>
      <c r="S10" s="228">
        <v>1</v>
      </c>
      <c r="T10" s="228">
        <v>1</v>
      </c>
      <c r="U10" s="228">
        <v>1</v>
      </c>
      <c r="V10" s="228">
        <v>1</v>
      </c>
      <c r="W10" s="228">
        <v>1</v>
      </c>
      <c r="X10" s="228">
        <v>1</v>
      </c>
      <c r="Y10" s="228">
        <v>1</v>
      </c>
      <c r="Z10" s="228">
        <v>1</v>
      </c>
      <c r="AA10" s="84">
        <v>1</v>
      </c>
    </row>
    <row r="11" spans="1:27" x14ac:dyDescent="0.25">
      <c r="A11" s="52"/>
      <c r="B11" s="85" t="s">
        <v>127</v>
      </c>
      <c r="C11" s="82"/>
      <c r="D11" s="82"/>
      <c r="E11" s="39"/>
      <c r="F11" s="83"/>
      <c r="G11" s="230">
        <v>0</v>
      </c>
      <c r="H11" s="229" t="s">
        <v>150</v>
      </c>
      <c r="I11" s="230">
        <v>0</v>
      </c>
      <c r="J11" s="230">
        <v>0</v>
      </c>
      <c r="K11" s="230">
        <v>0</v>
      </c>
      <c r="L11" s="230">
        <v>0</v>
      </c>
      <c r="M11" s="232">
        <v>0</v>
      </c>
      <c r="N11" s="230">
        <v>0</v>
      </c>
      <c r="O11" s="230" t="s">
        <v>150</v>
      </c>
      <c r="P11" s="230">
        <v>0</v>
      </c>
      <c r="Q11" s="230" t="s">
        <v>150</v>
      </c>
      <c r="R11" s="230">
        <v>0</v>
      </c>
      <c r="S11" s="230" t="s">
        <v>150</v>
      </c>
      <c r="T11" s="230">
        <v>0</v>
      </c>
      <c r="U11" s="230">
        <v>0</v>
      </c>
      <c r="V11" s="230" t="s">
        <v>150</v>
      </c>
      <c r="W11" s="230">
        <v>0</v>
      </c>
      <c r="X11" s="230" t="s">
        <v>150</v>
      </c>
      <c r="Y11" s="230">
        <v>0</v>
      </c>
      <c r="Z11" s="230" t="s">
        <v>150</v>
      </c>
      <c r="AA11" s="86">
        <v>0</v>
      </c>
    </row>
    <row r="12" spans="1:27" x14ac:dyDescent="0.25">
      <c r="A12" s="52"/>
      <c r="B12" s="85" t="s">
        <v>132</v>
      </c>
      <c r="C12" s="82"/>
      <c r="D12" s="82"/>
      <c r="E12" s="39"/>
      <c r="F12" s="83"/>
      <c r="G12" s="230">
        <v>178560</v>
      </c>
      <c r="H12" s="229" t="s">
        <v>150</v>
      </c>
      <c r="I12" s="230">
        <v>44640</v>
      </c>
      <c r="J12" s="230">
        <v>44640</v>
      </c>
      <c r="K12" s="230">
        <v>44640</v>
      </c>
      <c r="L12" s="230">
        <v>44640</v>
      </c>
      <c r="M12" s="230">
        <v>89280</v>
      </c>
      <c r="N12" s="230">
        <v>0</v>
      </c>
      <c r="O12" s="230" t="s">
        <v>150</v>
      </c>
      <c r="P12" s="230">
        <v>44640</v>
      </c>
      <c r="Q12" s="230" t="s">
        <v>150</v>
      </c>
      <c r="R12" s="230">
        <v>44640</v>
      </c>
      <c r="S12" s="230" t="s">
        <v>150</v>
      </c>
      <c r="T12" s="230">
        <v>44640</v>
      </c>
      <c r="U12" s="230">
        <v>44640</v>
      </c>
      <c r="V12" s="230" t="s">
        <v>150</v>
      </c>
      <c r="W12" s="230">
        <v>44640</v>
      </c>
      <c r="X12" s="230" t="s">
        <v>150</v>
      </c>
      <c r="Y12" s="230">
        <v>44640</v>
      </c>
      <c r="Z12" s="230" t="s">
        <v>150</v>
      </c>
      <c r="AA12" s="86">
        <v>691200</v>
      </c>
    </row>
    <row r="13" spans="1:27" x14ac:dyDescent="0.25">
      <c r="A13" s="52"/>
      <c r="B13" s="85" t="s">
        <v>130</v>
      </c>
      <c r="C13" s="82"/>
      <c r="D13" s="82"/>
      <c r="E13" s="39"/>
      <c r="F13" s="83"/>
      <c r="G13" s="231">
        <v>4</v>
      </c>
      <c r="H13" s="230">
        <v>0</v>
      </c>
      <c r="I13" s="230">
        <v>1</v>
      </c>
      <c r="J13" s="230">
        <v>1</v>
      </c>
      <c r="K13" s="230">
        <v>1</v>
      </c>
      <c r="L13" s="230">
        <v>1</v>
      </c>
      <c r="M13" s="231">
        <v>2</v>
      </c>
      <c r="N13" s="230">
        <v>1</v>
      </c>
      <c r="O13" s="230">
        <v>0</v>
      </c>
      <c r="P13" s="93">
        <v>1</v>
      </c>
      <c r="Q13" s="93">
        <v>0</v>
      </c>
      <c r="R13" s="93">
        <v>1</v>
      </c>
      <c r="S13" s="93">
        <v>0</v>
      </c>
      <c r="T13" s="93">
        <v>1</v>
      </c>
      <c r="U13" s="93">
        <v>1</v>
      </c>
      <c r="V13" s="230">
        <v>0</v>
      </c>
      <c r="W13" s="230">
        <v>1</v>
      </c>
      <c r="X13" s="230">
        <v>0</v>
      </c>
      <c r="Y13" s="230">
        <v>1</v>
      </c>
      <c r="Z13" s="231">
        <v>0</v>
      </c>
      <c r="AA13" s="86">
        <v>17</v>
      </c>
    </row>
    <row r="14" spans="1:27" ht="24" x14ac:dyDescent="0.25">
      <c r="A14" s="52">
        <v>10</v>
      </c>
      <c r="B14" s="32" t="s">
        <v>71</v>
      </c>
      <c r="C14" s="53" t="s">
        <v>125</v>
      </c>
      <c r="D14" s="53" t="s">
        <v>149</v>
      </c>
      <c r="E14" s="37" t="s">
        <v>78</v>
      </c>
      <c r="F14" s="54"/>
      <c r="G14" s="87">
        <v>1</v>
      </c>
      <c r="H14" s="87">
        <v>1</v>
      </c>
      <c r="I14" s="87">
        <v>1</v>
      </c>
      <c r="J14" s="87">
        <v>1</v>
      </c>
      <c r="K14" s="87">
        <v>1</v>
      </c>
      <c r="L14" s="87">
        <v>1</v>
      </c>
      <c r="M14" s="89">
        <v>1</v>
      </c>
      <c r="N14" s="87">
        <v>1</v>
      </c>
      <c r="O14" s="87">
        <v>1</v>
      </c>
      <c r="P14" s="87">
        <v>1</v>
      </c>
      <c r="Q14" s="87">
        <v>0.99987007168458786</v>
      </c>
      <c r="R14" s="87">
        <v>0.99943249701314218</v>
      </c>
      <c r="S14" s="238">
        <v>1</v>
      </c>
      <c r="T14" s="87">
        <v>0.99993968844775294</v>
      </c>
      <c r="U14" s="87">
        <v>1</v>
      </c>
      <c r="V14" s="237">
        <v>1</v>
      </c>
      <c r="W14" s="87">
        <v>1</v>
      </c>
      <c r="X14" s="87">
        <v>0.99679766171701656</v>
      </c>
      <c r="Y14" s="87">
        <v>1</v>
      </c>
      <c r="Z14" s="87">
        <v>1</v>
      </c>
      <c r="AA14" s="163">
        <v>0.9999365942028986</v>
      </c>
    </row>
    <row r="15" spans="1:27" x14ac:dyDescent="0.25">
      <c r="A15" s="52"/>
      <c r="B15" s="56" t="s">
        <v>127</v>
      </c>
      <c r="C15" s="53"/>
      <c r="D15" s="53"/>
      <c r="E15" s="37"/>
      <c r="F15" s="54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>
        <v>145</v>
      </c>
      <c r="R15" s="90">
        <v>684</v>
      </c>
      <c r="S15" s="90"/>
      <c r="T15" s="90">
        <v>70</v>
      </c>
      <c r="U15" s="90"/>
      <c r="V15" s="90"/>
      <c r="W15" s="90"/>
      <c r="X15" s="90">
        <v>3002</v>
      </c>
      <c r="Y15" s="90"/>
      <c r="Z15" s="90"/>
      <c r="AA15" s="93">
        <v>1449</v>
      </c>
    </row>
    <row r="16" spans="1:27" x14ac:dyDescent="0.25">
      <c r="A16" s="52"/>
      <c r="B16" s="56" t="s">
        <v>132</v>
      </c>
      <c r="C16" s="53"/>
      <c r="D16" s="53"/>
      <c r="E16" s="37"/>
      <c r="F16" s="54"/>
      <c r="G16" s="69">
        <v>1071360</v>
      </c>
      <c r="H16" s="69">
        <v>4062240</v>
      </c>
      <c r="I16" s="92">
        <v>1249920</v>
      </c>
      <c r="J16" s="92">
        <v>1071360</v>
      </c>
      <c r="K16" s="92">
        <v>1071360</v>
      </c>
      <c r="L16" s="92">
        <v>1919520</v>
      </c>
      <c r="M16" s="92">
        <v>1339200</v>
      </c>
      <c r="N16" s="92">
        <v>1071360</v>
      </c>
      <c r="O16" s="92">
        <v>446400</v>
      </c>
      <c r="P16" s="92">
        <v>1294560</v>
      </c>
      <c r="Q16" s="92">
        <v>1116000</v>
      </c>
      <c r="R16" s="92">
        <v>1205280</v>
      </c>
      <c r="S16" s="92">
        <v>848160</v>
      </c>
      <c r="T16" s="92">
        <v>1160640</v>
      </c>
      <c r="U16" s="92">
        <v>1428480</v>
      </c>
      <c r="V16" s="92">
        <v>669600</v>
      </c>
      <c r="W16" s="92">
        <v>937440</v>
      </c>
      <c r="X16" s="92">
        <v>937440</v>
      </c>
      <c r="Y16" s="92">
        <v>446400</v>
      </c>
      <c r="Z16" s="92">
        <v>669600</v>
      </c>
      <c r="AA16" s="93">
        <v>22852800</v>
      </c>
    </row>
    <row r="17" spans="1:27" x14ac:dyDescent="0.25">
      <c r="A17" s="52"/>
      <c r="B17" s="56" t="s">
        <v>130</v>
      </c>
      <c r="C17" s="53"/>
      <c r="D17" s="53"/>
      <c r="E17" s="37"/>
      <c r="F17" s="54"/>
      <c r="G17" s="95">
        <v>24</v>
      </c>
      <c r="H17" s="95">
        <v>91</v>
      </c>
      <c r="I17" s="92">
        <v>28</v>
      </c>
      <c r="J17" s="92">
        <v>24</v>
      </c>
      <c r="K17" s="92">
        <v>24</v>
      </c>
      <c r="L17" s="69">
        <v>43</v>
      </c>
      <c r="M17" s="92">
        <v>30</v>
      </c>
      <c r="N17" s="92">
        <v>24</v>
      </c>
      <c r="O17" s="92">
        <v>10</v>
      </c>
      <c r="P17" s="92">
        <v>29</v>
      </c>
      <c r="Q17" s="92">
        <v>25</v>
      </c>
      <c r="R17" s="92">
        <v>27</v>
      </c>
      <c r="S17" s="92">
        <v>19</v>
      </c>
      <c r="T17" s="92">
        <v>26</v>
      </c>
      <c r="U17" s="92">
        <v>32</v>
      </c>
      <c r="V17" s="92">
        <v>15</v>
      </c>
      <c r="W17" s="92">
        <v>21</v>
      </c>
      <c r="X17" s="92">
        <v>21</v>
      </c>
      <c r="Y17" s="92">
        <v>10</v>
      </c>
      <c r="Z17" s="94">
        <v>15</v>
      </c>
      <c r="AA17" s="93">
        <v>529</v>
      </c>
    </row>
    <row r="20" spans="1:27" x14ac:dyDescent="0.25">
      <c r="G20" s="96"/>
    </row>
    <row r="21" spans="1:27" x14ac:dyDescent="0.25">
      <c r="B21" s="97"/>
      <c r="J21" s="98" t="s">
        <v>151</v>
      </c>
      <c r="K21" s="98">
        <v>28</v>
      </c>
    </row>
    <row r="22" spans="1:27" x14ac:dyDescent="0.25">
      <c r="B22" s="97"/>
    </row>
    <row r="26" spans="1:27" x14ac:dyDescent="0.25">
      <c r="B26" s="97"/>
      <c r="E26" s="97"/>
    </row>
  </sheetData>
  <mergeCells count="13">
    <mergeCell ref="AA2:AA5"/>
    <mergeCell ref="G3:I3"/>
    <mergeCell ref="J3:L3"/>
    <mergeCell ref="M3:O3"/>
    <mergeCell ref="P3:R3"/>
    <mergeCell ref="S3:T3"/>
    <mergeCell ref="U3:W3"/>
    <mergeCell ref="Y3:Z3"/>
    <mergeCell ref="A2:D2"/>
    <mergeCell ref="G2:L2"/>
    <mergeCell ref="M2:R2"/>
    <mergeCell ref="S2:W2"/>
    <mergeCell ref="X2: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B9BD-9D0A-43AB-90A3-5EDE0BBBDABE}">
  <dimension ref="A1:AA11"/>
  <sheetViews>
    <sheetView workbookViewId="0">
      <selection sqref="A1:XFD1048576"/>
    </sheetView>
  </sheetViews>
  <sheetFormatPr defaultRowHeight="15" x14ac:dyDescent="0.25"/>
  <cols>
    <col min="2" max="2" width="29" customWidth="1"/>
    <col min="3" max="3" width="22" customWidth="1"/>
    <col min="4" max="4" width="19.7109375" customWidth="1"/>
    <col min="5" max="5" width="12.5703125" customWidth="1"/>
    <col min="6" max="6" width="11" bestFit="1" customWidth="1"/>
    <col min="7" max="7" width="10.28515625" bestFit="1" customWidth="1"/>
    <col min="8" max="8" width="14.42578125" bestFit="1" customWidth="1"/>
    <col min="9" max="9" width="10.28515625" bestFit="1" customWidth="1"/>
    <col min="10" max="10" width="10.85546875" bestFit="1" customWidth="1"/>
    <col min="11" max="11" width="10" bestFit="1" customWidth="1"/>
    <col min="12" max="12" width="8.140625" bestFit="1" customWidth="1"/>
    <col min="13" max="13" width="8.42578125" bestFit="1" customWidth="1"/>
    <col min="14" max="14" width="9.85546875" bestFit="1" customWidth="1"/>
    <col min="15" max="15" width="10.7109375" bestFit="1" customWidth="1"/>
    <col min="16" max="16" width="8.85546875" bestFit="1" customWidth="1"/>
    <col min="17" max="17" width="9.42578125" bestFit="1" customWidth="1"/>
    <col min="18" max="18" width="7.7109375" bestFit="1" customWidth="1"/>
    <col min="19" max="19" width="11" bestFit="1" customWidth="1"/>
    <col min="20" max="20" width="7.42578125" bestFit="1" customWidth="1"/>
    <col min="21" max="21" width="10.7109375" bestFit="1" customWidth="1"/>
    <col min="22" max="22" width="8.140625" bestFit="1" customWidth="1"/>
    <col min="23" max="23" width="8.5703125" bestFit="1" customWidth="1"/>
    <col min="24" max="24" width="10.7109375" bestFit="1" customWidth="1"/>
    <col min="25" max="25" width="8.28515625" bestFit="1" customWidth="1"/>
    <col min="26" max="26" width="13.28515625" bestFit="1" customWidth="1"/>
    <col min="27" max="27" width="7.42578125" bestFit="1" customWidth="1"/>
  </cols>
  <sheetData>
    <row r="1" spans="1:27" ht="19.5" thickBot="1" x14ac:dyDescent="0.3">
      <c r="A1" s="396" t="s">
        <v>255</v>
      </c>
      <c r="B1" s="397"/>
      <c r="C1" s="397"/>
      <c r="D1" s="398"/>
      <c r="E1" s="40"/>
      <c r="F1" s="41" t="s">
        <v>82</v>
      </c>
      <c r="G1" s="299" t="s">
        <v>83</v>
      </c>
      <c r="H1" s="301"/>
      <c r="I1" s="301"/>
      <c r="J1" s="301"/>
      <c r="K1" s="301"/>
      <c r="L1" s="301"/>
      <c r="M1" s="399" t="s">
        <v>84</v>
      </c>
      <c r="N1" s="399"/>
      <c r="O1" s="399"/>
      <c r="P1" s="399"/>
      <c r="Q1" s="399"/>
      <c r="R1" s="399"/>
      <c r="S1" s="309" t="s">
        <v>85</v>
      </c>
      <c r="T1" s="309"/>
      <c r="U1" s="309"/>
      <c r="V1" s="309"/>
      <c r="W1" s="309"/>
      <c r="X1" s="400" t="s">
        <v>86</v>
      </c>
      <c r="Y1" s="400"/>
      <c r="Z1" s="400"/>
      <c r="AA1" s="404" t="s">
        <v>87</v>
      </c>
    </row>
    <row r="2" spans="1:27" ht="15.75" thickBot="1" x14ac:dyDescent="0.3">
      <c r="A2" s="40"/>
      <c r="B2" s="40"/>
      <c r="C2" s="40"/>
      <c r="D2" s="40"/>
      <c r="E2" s="40"/>
      <c r="F2" s="42" t="s">
        <v>88</v>
      </c>
      <c r="G2" s="315" t="s">
        <v>89</v>
      </c>
      <c r="H2" s="317"/>
      <c r="I2" s="317"/>
      <c r="J2" s="317" t="s">
        <v>90</v>
      </c>
      <c r="K2" s="317"/>
      <c r="L2" s="317"/>
      <c r="M2" s="317" t="s">
        <v>91</v>
      </c>
      <c r="N2" s="317"/>
      <c r="O2" s="317"/>
      <c r="P2" s="317" t="s">
        <v>92</v>
      </c>
      <c r="Q2" s="317"/>
      <c r="R2" s="317"/>
      <c r="S2" s="317" t="s">
        <v>93</v>
      </c>
      <c r="T2" s="317"/>
      <c r="U2" s="317" t="s">
        <v>94</v>
      </c>
      <c r="V2" s="317"/>
      <c r="W2" s="317"/>
      <c r="X2" s="43" t="s">
        <v>95</v>
      </c>
      <c r="Y2" s="403" t="s">
        <v>96</v>
      </c>
      <c r="Z2" s="403"/>
      <c r="AA2" s="405"/>
    </row>
    <row r="3" spans="1:27" ht="15.75" thickBot="1" x14ac:dyDescent="0.3">
      <c r="A3" s="40"/>
      <c r="B3" s="40"/>
      <c r="C3" s="40"/>
      <c r="D3" s="40"/>
      <c r="E3" s="40"/>
      <c r="F3" s="42" t="s">
        <v>97</v>
      </c>
      <c r="G3" s="4" t="s">
        <v>256</v>
      </c>
      <c r="H3" s="5" t="s">
        <v>233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4" t="s">
        <v>115</v>
      </c>
      <c r="Y3" s="44" t="s">
        <v>116</v>
      </c>
      <c r="Z3" s="44" t="s">
        <v>117</v>
      </c>
      <c r="AA3" s="405"/>
    </row>
    <row r="4" spans="1:27" ht="15.75" thickBot="1" x14ac:dyDescent="0.3">
      <c r="A4" s="45" t="s">
        <v>118</v>
      </c>
      <c r="B4" s="46" t="s">
        <v>119</v>
      </c>
      <c r="C4" s="46" t="s">
        <v>120</v>
      </c>
      <c r="D4" s="46" t="s">
        <v>121</v>
      </c>
      <c r="E4" s="47" t="s">
        <v>122</v>
      </c>
      <c r="F4" s="42" t="s">
        <v>123</v>
      </c>
      <c r="G4" s="8" t="s">
        <v>257</v>
      </c>
      <c r="H4" s="9" t="s">
        <v>257</v>
      </c>
      <c r="I4" s="11" t="s">
        <v>51</v>
      </c>
      <c r="J4" s="9" t="s">
        <v>48</v>
      </c>
      <c r="K4" s="9" t="s">
        <v>49</v>
      </c>
      <c r="L4" s="9" t="s">
        <v>47</v>
      </c>
      <c r="M4" s="10" t="s">
        <v>50</v>
      </c>
      <c r="N4" s="10" t="s">
        <v>52</v>
      </c>
      <c r="O4" s="10" t="s">
        <v>53</v>
      </c>
      <c r="P4" s="9" t="s">
        <v>124</v>
      </c>
      <c r="Q4" s="9" t="s">
        <v>55</v>
      </c>
      <c r="R4" s="10" t="s">
        <v>64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405"/>
    </row>
    <row r="5" spans="1:27" ht="28.5" x14ac:dyDescent="0.25">
      <c r="A5" s="52">
        <v>10</v>
      </c>
      <c r="B5" s="32" t="s">
        <v>245</v>
      </c>
      <c r="C5" s="53" t="s">
        <v>125</v>
      </c>
      <c r="D5" s="53" t="s">
        <v>126</v>
      </c>
      <c r="E5" s="37" t="s">
        <v>77</v>
      </c>
      <c r="F5" s="54"/>
      <c r="G5" s="191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57"/>
    </row>
    <row r="6" spans="1:27" x14ac:dyDescent="0.25">
      <c r="A6" s="52"/>
      <c r="B6" s="56" t="s">
        <v>258</v>
      </c>
      <c r="C6" s="53"/>
      <c r="D6" s="53"/>
      <c r="E6" s="37"/>
      <c r="F6" s="54"/>
      <c r="G6" s="101"/>
      <c r="H6" s="101"/>
      <c r="I6" s="101"/>
      <c r="J6" s="101"/>
      <c r="K6" s="101"/>
      <c r="L6" s="101"/>
      <c r="M6" s="193"/>
      <c r="N6" s="101"/>
      <c r="O6" s="101"/>
      <c r="P6" s="101"/>
      <c r="Q6" s="193"/>
      <c r="R6" s="101"/>
      <c r="S6" s="101"/>
      <c r="T6" s="101"/>
      <c r="U6" s="194"/>
      <c r="V6" s="194"/>
      <c r="W6" s="101"/>
      <c r="X6" s="194"/>
      <c r="Y6" s="194"/>
      <c r="Z6" s="194"/>
      <c r="AA6" s="57"/>
    </row>
    <row r="7" spans="1:27" x14ac:dyDescent="0.25">
      <c r="A7" s="52"/>
      <c r="B7" s="56" t="s">
        <v>259</v>
      </c>
      <c r="C7" s="53"/>
      <c r="D7" s="53"/>
      <c r="E7" s="37"/>
      <c r="F7" s="54"/>
      <c r="G7" s="101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3"/>
      <c r="T7" s="194"/>
      <c r="U7" s="194"/>
      <c r="V7" s="194"/>
      <c r="W7" s="194"/>
      <c r="X7" s="194"/>
      <c r="Y7" s="194"/>
      <c r="Z7" s="194"/>
      <c r="AA7" s="57"/>
    </row>
    <row r="8" spans="1:27" ht="28.5" x14ac:dyDescent="0.25">
      <c r="A8" s="52">
        <v>11</v>
      </c>
      <c r="B8" s="32" t="s">
        <v>246</v>
      </c>
      <c r="C8" s="53" t="s">
        <v>125</v>
      </c>
      <c r="D8" s="53" t="s">
        <v>126</v>
      </c>
      <c r="E8" s="37" t="s">
        <v>260</v>
      </c>
      <c r="F8" s="54"/>
      <c r="G8" s="191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57"/>
    </row>
    <row r="9" spans="1:27" x14ac:dyDescent="0.25">
      <c r="A9" s="195"/>
      <c r="B9" s="56" t="s">
        <v>258</v>
      </c>
      <c r="C9" s="59"/>
      <c r="D9" s="59"/>
      <c r="E9" s="60"/>
      <c r="F9" s="54"/>
      <c r="G9" s="101"/>
      <c r="H9" s="101"/>
      <c r="I9" s="101"/>
      <c r="J9" s="101"/>
      <c r="K9" s="194"/>
      <c r="L9" s="101"/>
      <c r="M9" s="194"/>
      <c r="N9" s="101"/>
      <c r="O9" s="194"/>
      <c r="P9" s="194"/>
      <c r="Q9" s="101"/>
      <c r="R9" s="194"/>
      <c r="S9" s="101"/>
      <c r="T9" s="101"/>
      <c r="U9" s="194"/>
      <c r="V9" s="194"/>
      <c r="W9" s="101"/>
      <c r="X9" s="194"/>
      <c r="Y9" s="194"/>
      <c r="Z9" s="194"/>
      <c r="AA9" s="57"/>
    </row>
    <row r="10" spans="1:27" x14ac:dyDescent="0.25">
      <c r="A10" s="195"/>
      <c r="B10" s="56" t="s">
        <v>261</v>
      </c>
      <c r="C10" s="59"/>
      <c r="D10" s="59"/>
      <c r="E10" s="60"/>
      <c r="F10" s="54"/>
      <c r="G10" s="196"/>
      <c r="H10" s="194"/>
      <c r="I10" s="196"/>
      <c r="J10" s="194"/>
      <c r="K10" s="194"/>
      <c r="L10" s="194"/>
      <c r="M10" s="194"/>
      <c r="N10" s="193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57"/>
    </row>
    <row r="11" spans="1:27" x14ac:dyDescent="0.25">
      <c r="A11" s="71"/>
      <c r="B11" s="197" t="s">
        <v>262</v>
      </c>
      <c r="C11" s="72" t="s">
        <v>126</v>
      </c>
      <c r="D11" s="198"/>
      <c r="E11" s="198"/>
      <c r="F11" s="199"/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/>
    </row>
  </sheetData>
  <mergeCells count="13">
    <mergeCell ref="AA1:AA4"/>
    <mergeCell ref="G2:I2"/>
    <mergeCell ref="J2:L2"/>
    <mergeCell ref="M2:O2"/>
    <mergeCell ref="P2:R2"/>
    <mergeCell ref="S2:T2"/>
    <mergeCell ref="U2:W2"/>
    <mergeCell ref="Y2:Z2"/>
    <mergeCell ref="A1:D1"/>
    <mergeCell ref="G1:L1"/>
    <mergeCell ref="M1:R1"/>
    <mergeCell ref="S1:W1"/>
    <mergeCell ref="X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844-D0BB-49A1-AB78-55507912F8D2}">
  <dimension ref="A1:AD18"/>
  <sheetViews>
    <sheetView topLeftCell="D6" zoomScale="110" zoomScaleNormal="110" workbookViewId="0">
      <pane ySplit="2" topLeftCell="A8" activePane="bottomLeft" state="frozen"/>
      <selection activeCell="H6" sqref="H6"/>
      <selection pane="bottomLeft" activeCell="K18" sqref="K18"/>
    </sheetView>
  </sheetViews>
  <sheetFormatPr defaultColWidth="23" defaultRowHeight="15" x14ac:dyDescent="0.25"/>
  <cols>
    <col min="1" max="1" width="6.42578125" style="100" customWidth="1"/>
    <col min="2" max="2" width="36.85546875" customWidth="1"/>
    <col min="3" max="3" width="13" customWidth="1"/>
    <col min="4" max="4" width="29.5703125" customWidth="1"/>
    <col min="6" max="6" width="19.5703125" style="99" customWidth="1"/>
    <col min="7" max="7" width="16.7109375" style="40" customWidth="1"/>
    <col min="8" max="9" width="23" style="40"/>
    <col min="10" max="29" width="16.28515625" customWidth="1"/>
    <col min="30" max="30" width="18.42578125" bestFit="1" customWidth="1"/>
  </cols>
  <sheetData>
    <row r="1" spans="1:30" ht="19.5" thickBot="1" x14ac:dyDescent="0.3">
      <c r="A1" s="396" t="s">
        <v>152</v>
      </c>
      <c r="B1" s="397"/>
      <c r="C1" s="397"/>
      <c r="D1" s="398"/>
    </row>
    <row r="4" spans="1:30" ht="15.75" thickBot="1" x14ac:dyDescent="0.3"/>
    <row r="5" spans="1:30" ht="15.75" thickBot="1" x14ac:dyDescent="0.3">
      <c r="J5" s="41" t="s">
        <v>82</v>
      </c>
      <c r="K5" s="299" t="s">
        <v>83</v>
      </c>
      <c r="L5" s="301"/>
      <c r="M5" s="301"/>
      <c r="N5" s="301"/>
      <c r="O5" s="301"/>
      <c r="P5" s="301"/>
      <c r="Q5" s="399" t="s">
        <v>84</v>
      </c>
      <c r="R5" s="399"/>
      <c r="S5" s="399"/>
      <c r="T5" s="399"/>
      <c r="U5" s="399"/>
      <c r="V5" s="399"/>
      <c r="W5" s="309" t="s">
        <v>85</v>
      </c>
      <c r="X5" s="309"/>
      <c r="Y5" s="309"/>
      <c r="Z5" s="309"/>
      <c r="AA5" s="309"/>
      <c r="AB5" s="400" t="s">
        <v>86</v>
      </c>
      <c r="AC5" s="400"/>
      <c r="AD5" s="400"/>
    </row>
    <row r="6" spans="1:30" ht="15.75" thickBot="1" x14ac:dyDescent="0.3">
      <c r="J6" s="41" t="s">
        <v>88</v>
      </c>
      <c r="K6" s="407" t="s">
        <v>89</v>
      </c>
      <c r="L6" s="408"/>
      <c r="M6" s="317"/>
      <c r="N6" s="317" t="s">
        <v>90</v>
      </c>
      <c r="O6" s="317"/>
      <c r="P6" s="317"/>
      <c r="Q6" s="317" t="s">
        <v>91</v>
      </c>
      <c r="R6" s="317"/>
      <c r="S6" s="317"/>
      <c r="T6" s="317" t="s">
        <v>92</v>
      </c>
      <c r="U6" s="317"/>
      <c r="V6" s="317"/>
      <c r="W6" s="317" t="s">
        <v>93</v>
      </c>
      <c r="X6" s="317"/>
      <c r="Y6" s="317" t="s">
        <v>94</v>
      </c>
      <c r="Z6" s="317"/>
      <c r="AA6" s="317"/>
      <c r="AB6" s="43" t="s">
        <v>95</v>
      </c>
      <c r="AC6" s="403" t="s">
        <v>96</v>
      </c>
      <c r="AD6" s="403"/>
    </row>
    <row r="7" spans="1:30" x14ac:dyDescent="0.25">
      <c r="J7" s="41" t="s">
        <v>97</v>
      </c>
      <c r="K7" s="101" t="s">
        <v>153</v>
      </c>
      <c r="L7" s="101" t="s">
        <v>154</v>
      </c>
      <c r="M7" s="7" t="s">
        <v>100</v>
      </c>
      <c r="N7" s="5" t="s">
        <v>101</v>
      </c>
      <c r="O7" s="5" t="s">
        <v>102</v>
      </c>
      <c r="P7" s="5" t="s">
        <v>103</v>
      </c>
      <c r="Q7" s="6" t="s">
        <v>104</v>
      </c>
      <c r="R7" s="6" t="s">
        <v>105</v>
      </c>
      <c r="S7" s="6" t="s">
        <v>106</v>
      </c>
      <c r="T7" s="5" t="s">
        <v>107</v>
      </c>
      <c r="U7" s="5" t="s">
        <v>108</v>
      </c>
      <c r="V7" s="6" t="s">
        <v>109</v>
      </c>
      <c r="W7" s="5" t="s">
        <v>110</v>
      </c>
      <c r="X7" s="5" t="s">
        <v>111</v>
      </c>
      <c r="Y7" s="5" t="s">
        <v>112</v>
      </c>
      <c r="Z7" s="5" t="s">
        <v>113</v>
      </c>
      <c r="AA7" s="5" t="s">
        <v>114</v>
      </c>
      <c r="AB7" s="44" t="s">
        <v>115</v>
      </c>
      <c r="AC7" s="44" t="s">
        <v>116</v>
      </c>
      <c r="AD7" s="44" t="s">
        <v>117</v>
      </c>
    </row>
    <row r="8" spans="1:30" ht="15.75" thickBot="1" x14ac:dyDescent="0.3">
      <c r="J8" s="102" t="s">
        <v>123</v>
      </c>
      <c r="K8" s="101" t="s">
        <v>45</v>
      </c>
      <c r="L8" s="101" t="s">
        <v>46</v>
      </c>
      <c r="M8" s="11" t="s">
        <v>51</v>
      </c>
      <c r="N8" s="9" t="s">
        <v>48</v>
      </c>
      <c r="O8" s="9" t="s">
        <v>49</v>
      </c>
      <c r="P8" s="9" t="s">
        <v>47</v>
      </c>
      <c r="Q8" s="10" t="s">
        <v>50</v>
      </c>
      <c r="R8" s="10" t="s">
        <v>52</v>
      </c>
      <c r="S8" s="10" t="s">
        <v>53</v>
      </c>
      <c r="T8" s="9" t="s">
        <v>124</v>
      </c>
      <c r="U8" s="9" t="s">
        <v>55</v>
      </c>
      <c r="V8" s="10" t="s">
        <v>64</v>
      </c>
      <c r="W8" s="9" t="s">
        <v>56</v>
      </c>
      <c r="X8" s="9" t="s">
        <v>57</v>
      </c>
      <c r="Y8" s="9" t="s">
        <v>58</v>
      </c>
      <c r="Z8" s="9" t="s">
        <v>59</v>
      </c>
      <c r="AA8" s="9" t="s">
        <v>60</v>
      </c>
      <c r="AB8" s="9" t="s">
        <v>61</v>
      </c>
      <c r="AC8" s="9" t="s">
        <v>62</v>
      </c>
      <c r="AD8" s="9" t="s">
        <v>63</v>
      </c>
    </row>
    <row r="9" spans="1:30" ht="37.5" x14ac:dyDescent="0.25">
      <c r="A9" s="103" t="s">
        <v>118</v>
      </c>
      <c r="B9" s="103" t="s">
        <v>155</v>
      </c>
      <c r="C9" s="103" t="s">
        <v>73</v>
      </c>
      <c r="D9" s="103" t="s">
        <v>156</v>
      </c>
      <c r="E9" s="103" t="s">
        <v>157</v>
      </c>
      <c r="F9" s="103" t="s">
        <v>158</v>
      </c>
      <c r="G9" s="103" t="s">
        <v>159</v>
      </c>
      <c r="H9" s="103" t="s">
        <v>160</v>
      </c>
      <c r="I9" s="103" t="s">
        <v>161</v>
      </c>
      <c r="J9" s="104"/>
      <c r="K9" s="62"/>
      <c r="L9" s="62"/>
      <c r="M9" s="105"/>
      <c r="N9" s="76"/>
      <c r="O9" s="106"/>
      <c r="P9" s="107"/>
      <c r="Q9" s="106"/>
      <c r="R9" s="106"/>
      <c r="S9" s="107"/>
      <c r="T9" s="106"/>
      <c r="U9" s="106"/>
      <c r="V9" s="107"/>
      <c r="W9" s="106"/>
      <c r="X9" s="106"/>
      <c r="Y9" s="106"/>
      <c r="Z9" s="106"/>
      <c r="AA9" s="107"/>
      <c r="AB9" s="106"/>
      <c r="AC9" s="106"/>
      <c r="AD9" s="107"/>
    </row>
    <row r="10" spans="1:30" s="112" customFormat="1" ht="60" x14ac:dyDescent="0.25">
      <c r="A10" s="71">
        <v>1</v>
      </c>
      <c r="B10" s="108" t="s">
        <v>162</v>
      </c>
      <c r="C10" s="109">
        <v>0.9</v>
      </c>
      <c r="D10" s="108" t="s">
        <v>163</v>
      </c>
      <c r="E10" s="69" t="s">
        <v>164</v>
      </c>
      <c r="F10" s="67" t="s">
        <v>165</v>
      </c>
      <c r="G10" s="57" t="s">
        <v>166</v>
      </c>
      <c r="H10" s="110">
        <v>0.1</v>
      </c>
      <c r="I10" s="57" t="s">
        <v>167</v>
      </c>
      <c r="J10" s="111"/>
      <c r="K10" s="257">
        <v>0.8571428571428571</v>
      </c>
      <c r="L10" s="257">
        <v>0.81081081081081086</v>
      </c>
      <c r="M10" s="257">
        <v>0.83333333333333337</v>
      </c>
      <c r="N10" s="257">
        <v>1</v>
      </c>
      <c r="O10" s="257">
        <v>1</v>
      </c>
      <c r="P10" s="257">
        <v>1</v>
      </c>
      <c r="Q10" s="257">
        <v>0.66666666666666663</v>
      </c>
      <c r="R10" s="257">
        <v>0.5</v>
      </c>
      <c r="S10" s="257">
        <v>1</v>
      </c>
      <c r="T10" s="257">
        <v>1</v>
      </c>
      <c r="U10" s="257">
        <v>1</v>
      </c>
      <c r="V10" s="257">
        <v>1</v>
      </c>
      <c r="W10" s="258">
        <v>1</v>
      </c>
      <c r="X10" s="257">
        <v>1</v>
      </c>
      <c r="Y10" s="257">
        <v>1</v>
      </c>
      <c r="Z10" s="257">
        <v>1</v>
      </c>
      <c r="AA10" s="257">
        <v>0.66666666666666663</v>
      </c>
      <c r="AB10" s="257">
        <v>1</v>
      </c>
      <c r="AC10" s="257">
        <v>1</v>
      </c>
      <c r="AD10" s="257">
        <v>1</v>
      </c>
    </row>
    <row r="11" spans="1:30" s="112" customFormat="1" ht="90" x14ac:dyDescent="0.25">
      <c r="A11" s="71">
        <v>2</v>
      </c>
      <c r="B11" s="108" t="s">
        <v>168</v>
      </c>
      <c r="C11" s="109">
        <v>0.9</v>
      </c>
      <c r="D11" s="108" t="s">
        <v>163</v>
      </c>
      <c r="E11" s="69" t="s">
        <v>164</v>
      </c>
      <c r="F11" s="67" t="s">
        <v>165</v>
      </c>
      <c r="G11" s="57" t="s">
        <v>166</v>
      </c>
      <c r="H11" s="110">
        <v>0.2</v>
      </c>
      <c r="I11" s="57" t="s">
        <v>167</v>
      </c>
      <c r="J11" s="104"/>
      <c r="K11" s="257">
        <v>0.94444444444444442</v>
      </c>
      <c r="L11" s="257">
        <v>0.51851851851851849</v>
      </c>
      <c r="M11" s="257">
        <v>0.75</v>
      </c>
      <c r="N11" s="257">
        <v>0.8571428571428571</v>
      </c>
      <c r="O11" s="257">
        <v>1</v>
      </c>
      <c r="P11" s="258">
        <v>1</v>
      </c>
      <c r="Q11" s="257">
        <v>0.83333333333333337</v>
      </c>
      <c r="R11" s="257">
        <v>1</v>
      </c>
      <c r="S11" s="257">
        <v>1</v>
      </c>
      <c r="T11" s="257">
        <v>1</v>
      </c>
      <c r="U11" s="257">
        <v>1</v>
      </c>
      <c r="V11" s="257">
        <v>1</v>
      </c>
      <c r="W11" s="258">
        <v>1</v>
      </c>
      <c r="X11" s="257">
        <v>1</v>
      </c>
      <c r="Y11" s="257">
        <v>1</v>
      </c>
      <c r="Z11" s="257">
        <v>1</v>
      </c>
      <c r="AA11" s="257">
        <v>1</v>
      </c>
      <c r="AB11" s="257">
        <v>1</v>
      </c>
      <c r="AC11" s="257">
        <v>1</v>
      </c>
      <c r="AD11" s="257">
        <v>1</v>
      </c>
    </row>
    <row r="12" spans="1:30" s="112" customFormat="1" ht="30" x14ac:dyDescent="0.25">
      <c r="A12" s="71">
        <v>3</v>
      </c>
      <c r="B12" s="108" t="s">
        <v>169</v>
      </c>
      <c r="C12" s="109">
        <v>0.9</v>
      </c>
      <c r="D12" s="108" t="s">
        <v>163</v>
      </c>
      <c r="E12" s="69" t="s">
        <v>164</v>
      </c>
      <c r="F12" s="67" t="s">
        <v>165</v>
      </c>
      <c r="G12" s="57" t="s">
        <v>170</v>
      </c>
      <c r="H12" s="110">
        <v>0.2</v>
      </c>
      <c r="I12" s="57" t="s">
        <v>167</v>
      </c>
      <c r="J12" s="111"/>
      <c r="K12" s="258">
        <v>1</v>
      </c>
      <c r="L12" s="258">
        <v>1</v>
      </c>
      <c r="M12" s="257">
        <v>1</v>
      </c>
      <c r="N12" s="258">
        <v>1</v>
      </c>
      <c r="O12" s="257">
        <v>1</v>
      </c>
      <c r="P12" s="258">
        <v>1</v>
      </c>
      <c r="Q12" s="257">
        <v>0.75</v>
      </c>
      <c r="R12" s="257">
        <v>1</v>
      </c>
      <c r="S12" s="258">
        <v>1</v>
      </c>
      <c r="T12" s="257">
        <v>1</v>
      </c>
      <c r="U12" s="258">
        <v>1</v>
      </c>
      <c r="V12" s="258">
        <v>1</v>
      </c>
      <c r="W12" s="257">
        <v>1</v>
      </c>
      <c r="X12" s="257">
        <v>1</v>
      </c>
      <c r="Y12" s="257">
        <v>1</v>
      </c>
      <c r="Z12" s="257">
        <v>1</v>
      </c>
      <c r="AA12" s="257">
        <v>1</v>
      </c>
      <c r="AB12" s="257">
        <v>1</v>
      </c>
      <c r="AC12" s="258">
        <v>1</v>
      </c>
      <c r="AD12" s="258">
        <v>1</v>
      </c>
    </row>
    <row r="13" spans="1:30" s="112" customFormat="1" ht="45" x14ac:dyDescent="0.25">
      <c r="A13" s="71">
        <v>4</v>
      </c>
      <c r="B13" s="108" t="s">
        <v>171</v>
      </c>
      <c r="C13" s="109">
        <v>0.9</v>
      </c>
      <c r="D13" s="108" t="s">
        <v>163</v>
      </c>
      <c r="E13" s="69" t="s">
        <v>164</v>
      </c>
      <c r="F13" s="67" t="s">
        <v>165</v>
      </c>
      <c r="G13" s="57" t="s">
        <v>166</v>
      </c>
      <c r="H13" s="110">
        <v>0.1</v>
      </c>
      <c r="I13" s="57" t="s">
        <v>167</v>
      </c>
      <c r="J13" s="111"/>
      <c r="K13" s="257">
        <v>0.66666666666666663</v>
      </c>
      <c r="L13" s="257">
        <v>0.35714285714285715</v>
      </c>
      <c r="M13" s="257">
        <v>1</v>
      </c>
      <c r="N13" s="257">
        <v>1</v>
      </c>
      <c r="O13" s="257">
        <v>1</v>
      </c>
      <c r="P13" s="257">
        <v>0.8</v>
      </c>
      <c r="Q13" s="257">
        <v>1</v>
      </c>
      <c r="R13" s="257">
        <v>1</v>
      </c>
      <c r="S13" s="258">
        <v>1</v>
      </c>
      <c r="T13" s="257">
        <v>1</v>
      </c>
      <c r="U13" s="258">
        <v>1</v>
      </c>
      <c r="V13" s="258">
        <v>1</v>
      </c>
      <c r="W13" s="257">
        <v>1</v>
      </c>
      <c r="X13" s="257">
        <v>1</v>
      </c>
      <c r="Y13" s="257">
        <v>1</v>
      </c>
      <c r="Z13" s="257">
        <v>0.83333333333333337</v>
      </c>
      <c r="AA13" s="257">
        <v>1</v>
      </c>
      <c r="AB13" s="257">
        <v>1</v>
      </c>
      <c r="AC13" s="258">
        <v>1</v>
      </c>
      <c r="AD13" s="258">
        <v>1</v>
      </c>
    </row>
    <row r="14" spans="1:30" s="112" customFormat="1" ht="60" x14ac:dyDescent="0.25">
      <c r="A14" s="71">
        <v>5</v>
      </c>
      <c r="B14" s="108" t="s">
        <v>172</v>
      </c>
      <c r="C14" s="109">
        <v>0.9</v>
      </c>
      <c r="D14" s="108" t="s">
        <v>163</v>
      </c>
      <c r="E14" s="69" t="s">
        <v>164</v>
      </c>
      <c r="F14" s="67" t="s">
        <v>165</v>
      </c>
      <c r="G14" s="57" t="s">
        <v>166</v>
      </c>
      <c r="H14" s="110">
        <v>0.1</v>
      </c>
      <c r="I14" s="57" t="s">
        <v>167</v>
      </c>
      <c r="J14" s="111"/>
      <c r="K14" s="257">
        <v>1</v>
      </c>
      <c r="L14" s="257">
        <v>1</v>
      </c>
      <c r="M14" s="257">
        <v>1</v>
      </c>
      <c r="N14" s="257">
        <v>1</v>
      </c>
      <c r="O14" s="257">
        <v>0</v>
      </c>
      <c r="P14" s="257">
        <v>1</v>
      </c>
      <c r="Q14" s="257">
        <v>1</v>
      </c>
      <c r="R14" s="257">
        <v>1</v>
      </c>
      <c r="S14" s="258">
        <v>1</v>
      </c>
      <c r="T14" s="257">
        <v>1</v>
      </c>
      <c r="U14" s="258">
        <v>1</v>
      </c>
      <c r="V14" s="258">
        <v>1</v>
      </c>
      <c r="W14" s="257">
        <v>1</v>
      </c>
      <c r="X14" s="257">
        <v>1</v>
      </c>
      <c r="Y14" s="257">
        <v>1</v>
      </c>
      <c r="Z14" s="257">
        <v>1</v>
      </c>
      <c r="AA14" s="257">
        <v>1</v>
      </c>
      <c r="AB14" s="257">
        <v>1</v>
      </c>
      <c r="AC14" s="258">
        <v>1</v>
      </c>
      <c r="AD14" s="258">
        <v>1</v>
      </c>
    </row>
    <row r="15" spans="1:30" s="112" customFormat="1" ht="75" x14ac:dyDescent="0.25">
      <c r="A15" s="71">
        <v>6</v>
      </c>
      <c r="B15" s="108" t="s">
        <v>173</v>
      </c>
      <c r="C15" s="109">
        <v>0.9</v>
      </c>
      <c r="D15" s="108" t="s">
        <v>163</v>
      </c>
      <c r="E15" s="69" t="s">
        <v>164</v>
      </c>
      <c r="F15" s="67" t="s">
        <v>165</v>
      </c>
      <c r="G15" s="57" t="s">
        <v>174</v>
      </c>
      <c r="H15" s="110">
        <v>0.2</v>
      </c>
      <c r="I15" s="57" t="s">
        <v>167</v>
      </c>
      <c r="J15" s="111"/>
      <c r="K15" s="257">
        <v>0.55555555555555558</v>
      </c>
      <c r="L15" s="257">
        <v>0.5714285714285714</v>
      </c>
      <c r="M15" s="257">
        <v>0.75</v>
      </c>
      <c r="N15" s="257">
        <v>1</v>
      </c>
      <c r="O15" s="257">
        <v>1</v>
      </c>
      <c r="P15" s="257">
        <v>0.8</v>
      </c>
      <c r="Q15" s="257">
        <v>0.9</v>
      </c>
      <c r="R15" s="257">
        <v>0.5</v>
      </c>
      <c r="S15" s="258">
        <v>1</v>
      </c>
      <c r="T15" s="257">
        <v>1</v>
      </c>
      <c r="U15" s="257">
        <v>0</v>
      </c>
      <c r="V15" s="258">
        <v>1</v>
      </c>
      <c r="W15" s="257">
        <v>0.66666666666666663</v>
      </c>
      <c r="X15" s="257">
        <v>1</v>
      </c>
      <c r="Y15" s="257">
        <v>0.8571428571428571</v>
      </c>
      <c r="Z15" s="257">
        <v>1</v>
      </c>
      <c r="AA15" s="257">
        <v>0.75</v>
      </c>
      <c r="AB15" s="257">
        <v>1</v>
      </c>
      <c r="AC15" s="257">
        <v>1</v>
      </c>
      <c r="AD15" s="258">
        <v>1</v>
      </c>
    </row>
    <row r="16" spans="1:30" s="112" customFormat="1" ht="30" x14ac:dyDescent="0.25">
      <c r="A16" s="71">
        <v>7</v>
      </c>
      <c r="B16" s="108" t="s">
        <v>175</v>
      </c>
      <c r="C16" s="109">
        <v>0.9</v>
      </c>
      <c r="D16" s="108" t="s">
        <v>163</v>
      </c>
      <c r="E16" s="69" t="s">
        <v>164</v>
      </c>
      <c r="F16" s="67" t="s">
        <v>165</v>
      </c>
      <c r="G16" s="57" t="s">
        <v>174</v>
      </c>
      <c r="H16" s="110">
        <v>0.05</v>
      </c>
      <c r="I16" s="57" t="s">
        <v>167</v>
      </c>
      <c r="J16" s="111"/>
      <c r="K16" s="258">
        <v>1</v>
      </c>
      <c r="L16" s="257">
        <v>1</v>
      </c>
      <c r="M16" s="257">
        <v>0</v>
      </c>
      <c r="N16" s="258">
        <v>1</v>
      </c>
      <c r="O16" s="258">
        <v>1</v>
      </c>
      <c r="P16" s="258">
        <v>1</v>
      </c>
      <c r="Q16" s="258">
        <v>1</v>
      </c>
      <c r="R16" s="258">
        <v>1</v>
      </c>
      <c r="S16" s="258">
        <v>1</v>
      </c>
      <c r="T16" s="257">
        <v>1</v>
      </c>
      <c r="U16" s="257">
        <v>1</v>
      </c>
      <c r="V16" s="258">
        <v>1</v>
      </c>
      <c r="W16" s="257">
        <v>0</v>
      </c>
      <c r="X16" s="258">
        <v>1</v>
      </c>
      <c r="Y16" s="257">
        <v>0</v>
      </c>
      <c r="Z16" s="258">
        <v>1</v>
      </c>
      <c r="AA16" s="258">
        <v>1</v>
      </c>
      <c r="AB16" s="258">
        <v>1</v>
      </c>
      <c r="AC16" s="258">
        <v>1</v>
      </c>
      <c r="AD16" s="258">
        <v>1</v>
      </c>
    </row>
    <row r="17" spans="1:30" s="112" customFormat="1" ht="30" x14ac:dyDescent="0.25">
      <c r="A17" s="71">
        <v>8</v>
      </c>
      <c r="B17" s="188" t="s">
        <v>176</v>
      </c>
      <c r="C17" s="109">
        <v>0.9</v>
      </c>
      <c r="D17" s="108" t="s">
        <v>163</v>
      </c>
      <c r="E17" s="69" t="s">
        <v>164</v>
      </c>
      <c r="F17" s="67" t="s">
        <v>165</v>
      </c>
      <c r="G17" s="57" t="s">
        <v>177</v>
      </c>
      <c r="H17" s="110">
        <v>0.05</v>
      </c>
      <c r="I17" s="57" t="s">
        <v>167</v>
      </c>
      <c r="J17" s="111"/>
      <c r="K17" s="258">
        <v>1</v>
      </c>
      <c r="L17" s="258">
        <v>1</v>
      </c>
      <c r="M17" s="258">
        <v>1</v>
      </c>
      <c r="N17" s="258">
        <v>1</v>
      </c>
      <c r="O17" s="258">
        <v>1</v>
      </c>
      <c r="P17" s="258">
        <v>1</v>
      </c>
      <c r="Q17" s="258">
        <v>1</v>
      </c>
      <c r="R17" s="258">
        <v>1</v>
      </c>
      <c r="S17" s="258">
        <v>1</v>
      </c>
      <c r="T17" s="258">
        <v>1</v>
      </c>
      <c r="U17" s="258">
        <v>1</v>
      </c>
      <c r="V17" s="258">
        <v>1</v>
      </c>
      <c r="W17" s="258">
        <v>1</v>
      </c>
      <c r="X17" s="257">
        <v>0</v>
      </c>
      <c r="Y17" s="258">
        <v>1</v>
      </c>
      <c r="Z17" s="258">
        <v>1</v>
      </c>
      <c r="AA17" s="258">
        <v>1</v>
      </c>
      <c r="AB17" s="258">
        <v>1</v>
      </c>
      <c r="AC17" s="258">
        <v>1</v>
      </c>
      <c r="AD17" s="258">
        <v>1</v>
      </c>
    </row>
    <row r="18" spans="1:30" x14ac:dyDescent="0.25">
      <c r="A18" s="406" t="s">
        <v>282</v>
      </c>
      <c r="B18" s="406"/>
      <c r="C18" s="406"/>
      <c r="D18" s="406"/>
      <c r="E18" s="406"/>
      <c r="F18" s="406"/>
      <c r="G18" s="406"/>
      <c r="H18" s="406"/>
      <c r="I18" s="406"/>
      <c r="J18" s="406"/>
      <c r="K18" s="202">
        <f>K10*0.1+K11*0.2+K12*0.2+K13*0.1+K14*0.1+K15*0.2+K16*0.05+K17*0.05</f>
        <v>0.85238095238095257</v>
      </c>
      <c r="L18" s="202">
        <f t="shared" ref="L18:AD18" si="0">L10*0.1+L11*0.2+L12*0.2+L13*0.1+L14*0.1+L15*0.2+L16*0.05+L17*0.05</f>
        <v>0.73478478478478493</v>
      </c>
      <c r="M18" s="202">
        <f t="shared" si="0"/>
        <v>0.83333333333333337</v>
      </c>
      <c r="N18" s="202">
        <f t="shared" si="0"/>
        <v>0.97142857142857153</v>
      </c>
      <c r="O18" s="202">
        <f t="shared" si="0"/>
        <v>0.90000000000000013</v>
      </c>
      <c r="P18" s="202">
        <f t="shared" si="0"/>
        <v>0.94000000000000017</v>
      </c>
      <c r="Q18" s="202">
        <f t="shared" si="0"/>
        <v>0.86333333333333351</v>
      </c>
      <c r="R18" s="202">
        <f t="shared" si="0"/>
        <v>0.85000000000000009</v>
      </c>
      <c r="S18" s="202">
        <f t="shared" si="0"/>
        <v>1</v>
      </c>
      <c r="T18" s="202">
        <f t="shared" si="0"/>
        <v>1</v>
      </c>
      <c r="U18" s="202">
        <f t="shared" si="0"/>
        <v>0.8</v>
      </c>
      <c r="V18" s="202">
        <f t="shared" si="0"/>
        <v>1</v>
      </c>
      <c r="W18" s="202">
        <f t="shared" si="0"/>
        <v>0.8833333333333333</v>
      </c>
      <c r="X18" s="202">
        <f t="shared" si="0"/>
        <v>0.95</v>
      </c>
      <c r="Y18" s="202">
        <f t="shared" si="0"/>
        <v>0.92142857142857149</v>
      </c>
      <c r="Z18" s="202">
        <f t="shared" si="0"/>
        <v>0.98333333333333339</v>
      </c>
      <c r="AA18" s="202">
        <f t="shared" si="0"/>
        <v>0.91666666666666674</v>
      </c>
      <c r="AB18" s="202">
        <f t="shared" si="0"/>
        <v>1</v>
      </c>
      <c r="AC18" s="202">
        <f t="shared" si="0"/>
        <v>1</v>
      </c>
      <c r="AD18" s="202">
        <f t="shared" si="0"/>
        <v>1</v>
      </c>
    </row>
  </sheetData>
  <mergeCells count="13">
    <mergeCell ref="A18:J18"/>
    <mergeCell ref="Y6:AA6"/>
    <mergeCell ref="AC6:AD6"/>
    <mergeCell ref="A1:D1"/>
    <mergeCell ref="K5:P5"/>
    <mergeCell ref="Q5:V5"/>
    <mergeCell ref="W5:AA5"/>
    <mergeCell ref="AB5:AD5"/>
    <mergeCell ref="K6:M6"/>
    <mergeCell ref="N6:P6"/>
    <mergeCell ref="Q6:S6"/>
    <mergeCell ref="T6:V6"/>
    <mergeCell ref="W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E1AC-6E8D-49BE-91DC-39122B36F5CD}">
  <dimension ref="A1:AY55"/>
  <sheetViews>
    <sheetView topLeftCell="AG24" workbookViewId="0">
      <selection activeCell="AX40" sqref="AX40"/>
    </sheetView>
  </sheetViews>
  <sheetFormatPr defaultRowHeight="13.5" x14ac:dyDescent="0.25"/>
  <cols>
    <col min="1" max="1" width="4.5703125" style="113" bestFit="1" customWidth="1"/>
    <col min="2" max="2" width="50.5703125" style="113" bestFit="1" customWidth="1"/>
    <col min="3" max="3" width="10" style="113" bestFit="1" customWidth="1"/>
    <col min="4" max="4" width="32.28515625" style="113" customWidth="1"/>
    <col min="5" max="5" width="11.140625" style="113" bestFit="1" customWidth="1"/>
    <col min="6" max="6" width="11.42578125" style="113" customWidth="1"/>
    <col min="7" max="7" width="16.42578125" style="113" bestFit="1" customWidth="1"/>
    <col min="8" max="8" width="12" style="113" bestFit="1" customWidth="1"/>
    <col min="9" max="9" width="40.28515625" style="113" customWidth="1"/>
    <col min="10" max="22" width="9.5703125" style="114" customWidth="1"/>
    <col min="23" max="23" width="9.5703125" style="115" customWidth="1"/>
    <col min="24" max="27" width="9.5703125" style="114" customWidth="1"/>
    <col min="28" max="28" width="9.85546875" style="114" customWidth="1"/>
    <col min="29" max="33" width="9.5703125" style="114" customWidth="1"/>
    <col min="34" max="34" width="10" style="114" customWidth="1"/>
    <col min="35" max="48" width="9.5703125" style="114" customWidth="1"/>
    <col min="49" max="49" width="16.140625" style="114" bestFit="1" customWidth="1"/>
    <col min="50" max="16384" width="9.140625" style="113"/>
  </cols>
  <sheetData>
    <row r="1" spans="1:51" ht="14.25" thickBot="1" x14ac:dyDescent="0.3"/>
    <row r="2" spans="1:51" ht="15.75" customHeight="1" thickBot="1" x14ac:dyDescent="0.3">
      <c r="I2" s="116" t="s">
        <v>82</v>
      </c>
      <c r="J2" s="299" t="s">
        <v>83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3"/>
      <c r="V2" s="420" t="s">
        <v>84</v>
      </c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09" t="s">
        <v>85</v>
      </c>
      <c r="AI2" s="309"/>
      <c r="AJ2" s="309"/>
      <c r="AK2" s="309"/>
      <c r="AL2" s="309"/>
      <c r="AM2" s="309"/>
      <c r="AN2" s="309"/>
      <c r="AO2" s="309"/>
      <c r="AP2" s="309"/>
      <c r="AQ2" s="309"/>
      <c r="AR2" s="400" t="s">
        <v>86</v>
      </c>
      <c r="AS2" s="400"/>
      <c r="AT2" s="400"/>
      <c r="AU2" s="400"/>
      <c r="AV2" s="400"/>
      <c r="AW2" s="421"/>
    </row>
    <row r="3" spans="1:51" ht="14.25" thickBot="1" x14ac:dyDescent="0.3">
      <c r="I3" s="117" t="s">
        <v>88</v>
      </c>
      <c r="J3" s="315" t="s">
        <v>89</v>
      </c>
      <c r="K3" s="317"/>
      <c r="L3" s="317"/>
      <c r="M3" s="317"/>
      <c r="N3" s="317"/>
      <c r="O3" s="317"/>
      <c r="P3" s="317" t="s">
        <v>90</v>
      </c>
      <c r="Q3" s="317"/>
      <c r="R3" s="317"/>
      <c r="S3" s="317"/>
      <c r="T3" s="317"/>
      <c r="U3" s="317"/>
      <c r="V3" s="317" t="s">
        <v>91</v>
      </c>
      <c r="W3" s="317"/>
      <c r="X3" s="317"/>
      <c r="Y3" s="317"/>
      <c r="Z3" s="317"/>
      <c r="AA3" s="317"/>
      <c r="AB3" s="317" t="s">
        <v>92</v>
      </c>
      <c r="AC3" s="317"/>
      <c r="AD3" s="317"/>
      <c r="AE3" s="317"/>
      <c r="AF3" s="317"/>
      <c r="AG3" s="317"/>
      <c r="AH3" s="317" t="s">
        <v>93</v>
      </c>
      <c r="AI3" s="317"/>
      <c r="AJ3" s="317"/>
      <c r="AK3" s="317"/>
      <c r="AL3" s="317" t="s">
        <v>94</v>
      </c>
      <c r="AM3" s="317"/>
      <c r="AN3" s="317"/>
      <c r="AO3" s="317"/>
      <c r="AP3" s="317"/>
      <c r="AQ3" s="317"/>
      <c r="AR3" s="403" t="s">
        <v>95</v>
      </c>
      <c r="AS3" s="403"/>
      <c r="AT3" s="403" t="s">
        <v>96</v>
      </c>
      <c r="AU3" s="403"/>
      <c r="AV3" s="403"/>
      <c r="AW3" s="422"/>
    </row>
    <row r="4" spans="1:51" x14ac:dyDescent="0.25">
      <c r="I4" s="117" t="s">
        <v>97</v>
      </c>
      <c r="J4" s="294" t="s">
        <v>98</v>
      </c>
      <c r="K4" s="296"/>
      <c r="L4" s="296" t="s">
        <v>148</v>
      </c>
      <c r="M4" s="296"/>
      <c r="N4" s="357" t="s">
        <v>100</v>
      </c>
      <c r="O4" s="357"/>
      <c r="P4" s="296" t="s">
        <v>101</v>
      </c>
      <c r="Q4" s="296"/>
      <c r="R4" s="296" t="s">
        <v>102</v>
      </c>
      <c r="S4" s="296"/>
      <c r="T4" s="296" t="s">
        <v>103</v>
      </c>
      <c r="U4" s="296"/>
      <c r="V4" s="360" t="s">
        <v>104</v>
      </c>
      <c r="W4" s="360"/>
      <c r="X4" s="360" t="s">
        <v>105</v>
      </c>
      <c r="Y4" s="360"/>
      <c r="Z4" s="360" t="s">
        <v>106</v>
      </c>
      <c r="AA4" s="360"/>
      <c r="AB4" s="296" t="s">
        <v>107</v>
      </c>
      <c r="AC4" s="296"/>
      <c r="AD4" s="296" t="s">
        <v>108</v>
      </c>
      <c r="AE4" s="296"/>
      <c r="AF4" s="360" t="s">
        <v>109</v>
      </c>
      <c r="AG4" s="360"/>
      <c r="AH4" s="296" t="s">
        <v>110</v>
      </c>
      <c r="AI4" s="296"/>
      <c r="AJ4" s="296" t="s">
        <v>111</v>
      </c>
      <c r="AK4" s="296"/>
      <c r="AL4" s="296" t="s">
        <v>112</v>
      </c>
      <c r="AM4" s="296"/>
      <c r="AN4" s="296" t="s">
        <v>113</v>
      </c>
      <c r="AO4" s="296"/>
      <c r="AP4" s="296" t="s">
        <v>114</v>
      </c>
      <c r="AQ4" s="296"/>
      <c r="AR4" s="418" t="s">
        <v>115</v>
      </c>
      <c r="AS4" s="418"/>
      <c r="AT4" s="418" t="s">
        <v>116</v>
      </c>
      <c r="AU4" s="418"/>
      <c r="AV4" s="418" t="s">
        <v>117</v>
      </c>
      <c r="AW4" s="419"/>
    </row>
    <row r="5" spans="1:51" ht="14.25" thickBot="1" x14ac:dyDescent="0.3">
      <c r="I5" s="118" t="s">
        <v>123</v>
      </c>
      <c r="J5" s="416" t="s">
        <v>45</v>
      </c>
      <c r="K5" s="413"/>
      <c r="L5" s="413" t="s">
        <v>46</v>
      </c>
      <c r="M5" s="413"/>
      <c r="N5" s="417" t="s">
        <v>51</v>
      </c>
      <c r="O5" s="417"/>
      <c r="P5" s="413" t="s">
        <v>48</v>
      </c>
      <c r="Q5" s="413"/>
      <c r="R5" s="413" t="s">
        <v>49</v>
      </c>
      <c r="S5" s="413"/>
      <c r="T5" s="413" t="s">
        <v>47</v>
      </c>
      <c r="U5" s="413"/>
      <c r="V5" s="415" t="s">
        <v>50</v>
      </c>
      <c r="W5" s="415"/>
      <c r="X5" s="415" t="s">
        <v>52</v>
      </c>
      <c r="Y5" s="415"/>
      <c r="Z5" s="415" t="s">
        <v>53</v>
      </c>
      <c r="AA5" s="415"/>
      <c r="AB5" s="413" t="s">
        <v>124</v>
      </c>
      <c r="AC5" s="413"/>
      <c r="AD5" s="413" t="s">
        <v>55</v>
      </c>
      <c r="AE5" s="413"/>
      <c r="AF5" s="415" t="s">
        <v>64</v>
      </c>
      <c r="AG5" s="415"/>
      <c r="AH5" s="413" t="s">
        <v>56</v>
      </c>
      <c r="AI5" s="413"/>
      <c r="AJ5" s="413" t="s">
        <v>57</v>
      </c>
      <c r="AK5" s="413"/>
      <c r="AL5" s="413" t="s">
        <v>58</v>
      </c>
      <c r="AM5" s="413"/>
      <c r="AN5" s="413" t="s">
        <v>59</v>
      </c>
      <c r="AO5" s="413"/>
      <c r="AP5" s="413" t="s">
        <v>60</v>
      </c>
      <c r="AQ5" s="413"/>
      <c r="AR5" s="413" t="s">
        <v>61</v>
      </c>
      <c r="AS5" s="413"/>
      <c r="AT5" s="413" t="s">
        <v>62</v>
      </c>
      <c r="AU5" s="413"/>
      <c r="AV5" s="413" t="s">
        <v>63</v>
      </c>
      <c r="AW5" s="414"/>
    </row>
    <row r="6" spans="1:51" ht="37.5" x14ac:dyDescent="0.25">
      <c r="A6" s="103" t="s">
        <v>118</v>
      </c>
      <c r="B6" s="103" t="s">
        <v>155</v>
      </c>
      <c r="C6" s="103" t="s">
        <v>73</v>
      </c>
      <c r="D6" s="119" t="s">
        <v>156</v>
      </c>
      <c r="E6" s="103" t="s">
        <v>157</v>
      </c>
      <c r="F6" s="103" t="s">
        <v>158</v>
      </c>
      <c r="G6" s="103" t="s">
        <v>159</v>
      </c>
      <c r="H6" s="103" t="s">
        <v>161</v>
      </c>
      <c r="I6" s="120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2"/>
    </row>
    <row r="7" spans="1:51" ht="15" x14ac:dyDescent="0.25">
      <c r="A7" s="57">
        <v>1</v>
      </c>
      <c r="B7" s="123" t="s">
        <v>178</v>
      </c>
      <c r="C7" s="124">
        <v>1</v>
      </c>
      <c r="D7" s="125" t="s">
        <v>179</v>
      </c>
      <c r="E7" s="69" t="s">
        <v>180</v>
      </c>
      <c r="F7" s="126" t="s">
        <v>181</v>
      </c>
      <c r="G7" s="76" t="s">
        <v>182</v>
      </c>
      <c r="H7" s="76" t="s">
        <v>183</v>
      </c>
      <c r="I7" s="127"/>
      <c r="J7" s="411">
        <v>1</v>
      </c>
      <c r="K7" s="412"/>
      <c r="L7" s="411">
        <v>1</v>
      </c>
      <c r="M7" s="412"/>
      <c r="N7" s="411">
        <v>1</v>
      </c>
      <c r="O7" s="412"/>
      <c r="P7" s="411">
        <v>1</v>
      </c>
      <c r="Q7" s="412"/>
      <c r="R7" s="411">
        <v>1</v>
      </c>
      <c r="S7" s="412"/>
      <c r="T7" s="411">
        <v>1</v>
      </c>
      <c r="U7" s="412"/>
      <c r="V7" s="411">
        <v>1</v>
      </c>
      <c r="W7" s="412"/>
      <c r="X7" s="411">
        <v>1</v>
      </c>
      <c r="Y7" s="412"/>
      <c r="Z7" s="411">
        <v>1</v>
      </c>
      <c r="AA7" s="412"/>
      <c r="AB7" s="411">
        <v>1</v>
      </c>
      <c r="AC7" s="412"/>
      <c r="AD7" s="411">
        <v>1</v>
      </c>
      <c r="AE7" s="412"/>
      <c r="AF7" s="411">
        <v>1</v>
      </c>
      <c r="AG7" s="412"/>
      <c r="AH7" s="411">
        <v>1</v>
      </c>
      <c r="AI7" s="412"/>
      <c r="AJ7" s="411">
        <v>1</v>
      </c>
      <c r="AK7" s="412"/>
      <c r="AL7" s="411">
        <v>1</v>
      </c>
      <c r="AM7" s="412"/>
      <c r="AN7" s="411">
        <v>1</v>
      </c>
      <c r="AO7" s="412"/>
      <c r="AP7" s="411">
        <v>1</v>
      </c>
      <c r="AQ7" s="412"/>
      <c r="AR7" s="411">
        <v>1</v>
      </c>
      <c r="AS7" s="412"/>
      <c r="AT7" s="411">
        <v>1</v>
      </c>
      <c r="AU7" s="412"/>
      <c r="AV7" s="411">
        <v>1</v>
      </c>
      <c r="AW7" s="412"/>
      <c r="AX7" s="409"/>
      <c r="AY7" s="410"/>
    </row>
    <row r="8" spans="1:51" ht="18" customHeight="1" x14ac:dyDescent="0.25">
      <c r="A8" s="57">
        <v>2</v>
      </c>
      <c r="B8" s="123" t="s">
        <v>184</v>
      </c>
      <c r="C8" s="124">
        <v>1</v>
      </c>
      <c r="D8" s="125" t="s">
        <v>179</v>
      </c>
      <c r="E8" s="69" t="s">
        <v>185</v>
      </c>
      <c r="F8" s="126" t="s">
        <v>181</v>
      </c>
      <c r="G8" s="76" t="s">
        <v>182</v>
      </c>
      <c r="H8" s="76" t="s">
        <v>183</v>
      </c>
      <c r="I8" s="127"/>
      <c r="J8" s="411">
        <v>1</v>
      </c>
      <c r="K8" s="412"/>
      <c r="L8" s="411">
        <v>1</v>
      </c>
      <c r="M8" s="412"/>
      <c r="N8" s="411">
        <v>1</v>
      </c>
      <c r="O8" s="412"/>
      <c r="P8" s="411">
        <v>1</v>
      </c>
      <c r="Q8" s="412"/>
      <c r="R8" s="411">
        <v>1</v>
      </c>
      <c r="S8" s="412"/>
      <c r="T8" s="411">
        <v>1</v>
      </c>
      <c r="U8" s="412"/>
      <c r="V8" s="411">
        <v>1</v>
      </c>
      <c r="W8" s="412"/>
      <c r="X8" s="411">
        <v>1</v>
      </c>
      <c r="Y8" s="412"/>
      <c r="Z8" s="411">
        <v>1</v>
      </c>
      <c r="AA8" s="412"/>
      <c r="AB8" s="411">
        <v>1</v>
      </c>
      <c r="AC8" s="412"/>
      <c r="AD8" s="411">
        <v>1</v>
      </c>
      <c r="AE8" s="412"/>
      <c r="AF8" s="411">
        <v>1</v>
      </c>
      <c r="AG8" s="412"/>
      <c r="AH8" s="411">
        <v>1</v>
      </c>
      <c r="AI8" s="412"/>
      <c r="AJ8" s="411">
        <v>1</v>
      </c>
      <c r="AK8" s="412"/>
      <c r="AL8" s="411">
        <v>1</v>
      </c>
      <c r="AM8" s="412"/>
      <c r="AN8" s="411">
        <v>1</v>
      </c>
      <c r="AO8" s="412"/>
      <c r="AP8" s="411">
        <v>1</v>
      </c>
      <c r="AQ8" s="412"/>
      <c r="AR8" s="411">
        <v>1</v>
      </c>
      <c r="AS8" s="412"/>
      <c r="AT8" s="411">
        <v>1</v>
      </c>
      <c r="AU8" s="412"/>
      <c r="AV8" s="411">
        <v>1</v>
      </c>
      <c r="AW8" s="412"/>
      <c r="AX8" s="409"/>
      <c r="AY8" s="410"/>
    </row>
    <row r="9" spans="1:51" ht="18" customHeight="1" x14ac:dyDescent="0.25">
      <c r="A9" s="57">
        <v>3</v>
      </c>
      <c r="B9" s="123" t="s">
        <v>186</v>
      </c>
      <c r="C9" s="124">
        <v>1</v>
      </c>
      <c r="D9" s="125" t="s">
        <v>179</v>
      </c>
      <c r="E9" s="69" t="s">
        <v>126</v>
      </c>
      <c r="F9" s="126" t="s">
        <v>181</v>
      </c>
      <c r="G9" s="76" t="s">
        <v>187</v>
      </c>
      <c r="H9" s="76" t="s">
        <v>183</v>
      </c>
      <c r="I9" s="127"/>
      <c r="J9" s="411">
        <v>1</v>
      </c>
      <c r="K9" s="412"/>
      <c r="L9" s="411">
        <v>1</v>
      </c>
      <c r="M9" s="412"/>
      <c r="N9" s="411">
        <v>1</v>
      </c>
      <c r="O9" s="412"/>
      <c r="P9" s="411">
        <v>1</v>
      </c>
      <c r="Q9" s="412"/>
      <c r="R9" s="411">
        <v>1</v>
      </c>
      <c r="S9" s="412"/>
      <c r="T9" s="411">
        <v>1</v>
      </c>
      <c r="U9" s="412"/>
      <c r="V9" s="411">
        <v>1</v>
      </c>
      <c r="W9" s="412"/>
      <c r="X9" s="411">
        <v>1</v>
      </c>
      <c r="Y9" s="412"/>
      <c r="Z9" s="411">
        <v>1</v>
      </c>
      <c r="AA9" s="412"/>
      <c r="AB9" s="411">
        <v>1</v>
      </c>
      <c r="AC9" s="412"/>
      <c r="AD9" s="411">
        <v>1</v>
      </c>
      <c r="AE9" s="412"/>
      <c r="AF9" s="411">
        <v>1</v>
      </c>
      <c r="AG9" s="412"/>
      <c r="AH9" s="411">
        <v>1</v>
      </c>
      <c r="AI9" s="412"/>
      <c r="AJ9" s="411">
        <v>1</v>
      </c>
      <c r="AK9" s="412"/>
      <c r="AL9" s="411">
        <v>1</v>
      </c>
      <c r="AM9" s="412"/>
      <c r="AN9" s="411">
        <v>1</v>
      </c>
      <c r="AO9" s="412"/>
      <c r="AP9" s="411">
        <v>1</v>
      </c>
      <c r="AQ9" s="412"/>
      <c r="AR9" s="411">
        <v>1</v>
      </c>
      <c r="AS9" s="412"/>
      <c r="AT9" s="411">
        <v>1</v>
      </c>
      <c r="AU9" s="412"/>
      <c r="AV9" s="411">
        <v>1</v>
      </c>
      <c r="AW9" s="412"/>
    </row>
    <row r="10" spans="1:51" ht="15" x14ac:dyDescent="0.25">
      <c r="A10" s="57">
        <v>4</v>
      </c>
      <c r="B10" s="123" t="s">
        <v>188</v>
      </c>
      <c r="C10" s="124">
        <v>1</v>
      </c>
      <c r="D10" s="125" t="s">
        <v>179</v>
      </c>
      <c r="E10" s="69" t="s">
        <v>189</v>
      </c>
      <c r="F10" s="126" t="s">
        <v>181</v>
      </c>
      <c r="G10" s="76" t="s">
        <v>187</v>
      </c>
      <c r="H10" s="76" t="s">
        <v>183</v>
      </c>
      <c r="I10" s="128"/>
      <c r="J10" s="411"/>
      <c r="K10" s="412"/>
      <c r="L10" s="411"/>
      <c r="M10" s="412"/>
      <c r="N10" s="411"/>
      <c r="O10" s="412"/>
      <c r="P10" s="411"/>
      <c r="Q10" s="412"/>
      <c r="R10" s="411"/>
      <c r="S10" s="412"/>
      <c r="T10" s="411"/>
      <c r="U10" s="412"/>
      <c r="V10" s="411"/>
      <c r="W10" s="412"/>
      <c r="X10" s="411"/>
      <c r="Y10" s="412"/>
      <c r="Z10" s="411"/>
      <c r="AA10" s="412"/>
      <c r="AB10" s="411"/>
      <c r="AC10" s="412"/>
      <c r="AD10" s="411"/>
      <c r="AE10" s="412"/>
      <c r="AF10" s="411"/>
      <c r="AG10" s="412"/>
      <c r="AH10" s="411"/>
      <c r="AI10" s="412"/>
      <c r="AJ10" s="411"/>
      <c r="AK10" s="412"/>
      <c r="AL10" s="411"/>
      <c r="AM10" s="412"/>
      <c r="AN10" s="411"/>
      <c r="AO10" s="412"/>
      <c r="AP10" s="411"/>
      <c r="AQ10" s="412"/>
      <c r="AR10" s="411"/>
      <c r="AS10" s="412"/>
      <c r="AT10" s="411"/>
      <c r="AU10" s="412"/>
      <c r="AV10" s="411"/>
      <c r="AW10" s="412"/>
    </row>
    <row r="11" spans="1:51" x14ac:dyDescent="0.25">
      <c r="I11" s="129" t="s">
        <v>190</v>
      </c>
      <c r="J11" s="130" t="s">
        <v>191</v>
      </c>
      <c r="K11" s="130" t="s">
        <v>192</v>
      </c>
      <c r="L11" s="130" t="s">
        <v>191</v>
      </c>
      <c r="M11" s="130" t="s">
        <v>192</v>
      </c>
      <c r="N11" s="130" t="s">
        <v>191</v>
      </c>
      <c r="O11" s="130" t="s">
        <v>192</v>
      </c>
      <c r="P11" s="130" t="s">
        <v>191</v>
      </c>
      <c r="Q11" s="130" t="s">
        <v>192</v>
      </c>
      <c r="R11" s="130" t="s">
        <v>191</v>
      </c>
      <c r="S11" s="130" t="s">
        <v>192</v>
      </c>
      <c r="T11" s="130" t="s">
        <v>191</v>
      </c>
      <c r="U11" s="130" t="s">
        <v>192</v>
      </c>
      <c r="V11" s="130" t="s">
        <v>191</v>
      </c>
      <c r="W11" s="131" t="s">
        <v>192</v>
      </c>
      <c r="X11" s="130" t="s">
        <v>191</v>
      </c>
      <c r="Y11" s="130" t="s">
        <v>192</v>
      </c>
      <c r="Z11" s="130" t="s">
        <v>191</v>
      </c>
      <c r="AA11" s="130" t="s">
        <v>192</v>
      </c>
      <c r="AB11" s="130" t="s">
        <v>191</v>
      </c>
      <c r="AC11" s="130" t="s">
        <v>192</v>
      </c>
      <c r="AD11" s="130" t="s">
        <v>191</v>
      </c>
      <c r="AE11" s="130" t="s">
        <v>192</v>
      </c>
      <c r="AF11" s="130" t="s">
        <v>191</v>
      </c>
      <c r="AG11" s="130" t="s">
        <v>192</v>
      </c>
      <c r="AH11" s="130" t="s">
        <v>191</v>
      </c>
      <c r="AI11" s="130" t="s">
        <v>192</v>
      </c>
      <c r="AJ11" s="130"/>
      <c r="AK11" s="130"/>
      <c r="AL11" s="130" t="s">
        <v>191</v>
      </c>
      <c r="AM11" s="130" t="s">
        <v>192</v>
      </c>
      <c r="AN11" s="130" t="s">
        <v>191</v>
      </c>
      <c r="AO11" s="130" t="s">
        <v>192</v>
      </c>
      <c r="AP11" s="130" t="s">
        <v>191</v>
      </c>
      <c r="AQ11" s="130" t="s">
        <v>192</v>
      </c>
      <c r="AR11" s="130" t="s">
        <v>191</v>
      </c>
      <c r="AS11" s="130" t="s">
        <v>192</v>
      </c>
      <c r="AT11" s="130" t="s">
        <v>191</v>
      </c>
      <c r="AU11" s="130" t="s">
        <v>192</v>
      </c>
      <c r="AV11" s="130" t="s">
        <v>191</v>
      </c>
      <c r="AW11" s="130" t="s">
        <v>192</v>
      </c>
      <c r="AX11" s="113" t="s">
        <v>283</v>
      </c>
    </row>
    <row r="12" spans="1:51" s="132" customFormat="1" x14ac:dyDescent="0.25">
      <c r="I12" s="133"/>
      <c r="J12" s="267">
        <v>18</v>
      </c>
      <c r="K12" s="266"/>
      <c r="L12" s="267">
        <v>77</v>
      </c>
      <c r="M12" s="267"/>
      <c r="N12" s="266">
        <v>27</v>
      </c>
      <c r="O12" s="267"/>
      <c r="P12" s="266">
        <v>25</v>
      </c>
      <c r="Q12" s="267"/>
      <c r="R12" s="266">
        <v>14</v>
      </c>
      <c r="S12" s="267"/>
      <c r="T12" s="266">
        <v>28</v>
      </c>
      <c r="U12" s="267"/>
      <c r="V12" s="266">
        <v>30</v>
      </c>
      <c r="W12" s="267"/>
      <c r="X12" s="266">
        <v>19</v>
      </c>
      <c r="Y12" s="267"/>
      <c r="Z12" s="266">
        <v>9</v>
      </c>
      <c r="AA12" s="267"/>
      <c r="AB12" s="267">
        <v>26</v>
      </c>
      <c r="AC12" s="267"/>
      <c r="AD12" s="266">
        <v>23</v>
      </c>
      <c r="AE12" s="267"/>
      <c r="AF12" s="266">
        <v>22</v>
      </c>
      <c r="AG12" s="267"/>
      <c r="AH12" s="267">
        <v>16</v>
      </c>
      <c r="AI12" s="267"/>
      <c r="AJ12" s="266">
        <v>24</v>
      </c>
      <c r="AK12" s="267"/>
      <c r="AL12" s="266">
        <v>34</v>
      </c>
      <c r="AM12" s="267"/>
      <c r="AN12" s="266">
        <v>13</v>
      </c>
      <c r="AO12" s="267"/>
      <c r="AP12" s="266">
        <v>18</v>
      </c>
      <c r="AQ12" s="267"/>
      <c r="AR12" s="266">
        <v>16</v>
      </c>
      <c r="AS12" s="267"/>
      <c r="AT12" s="267">
        <v>7</v>
      </c>
      <c r="AU12" s="267"/>
      <c r="AV12" s="266">
        <v>14</v>
      </c>
      <c r="AW12" s="267"/>
      <c r="AX12" s="132">
        <f>SUM(AV12,AT12,AR12,AP12,AN12,AL12,AJ12,AH12,AF12,AD12,AB12,Z12,X12,V12,T12,R12,P12,N12,L12,J12)</f>
        <v>460</v>
      </c>
    </row>
    <row r="13" spans="1:51" ht="15" x14ac:dyDescent="0.25">
      <c r="I13" s="134" t="s">
        <v>193</v>
      </c>
      <c r="J13" s="264">
        <v>9</v>
      </c>
      <c r="K13" s="268">
        <v>25</v>
      </c>
      <c r="L13" s="264">
        <v>39</v>
      </c>
      <c r="M13" s="134">
        <v>4</v>
      </c>
      <c r="N13" s="264">
        <v>14</v>
      </c>
      <c r="O13" s="259">
        <v>25</v>
      </c>
      <c r="P13" s="264">
        <v>13</v>
      </c>
      <c r="Q13" s="134">
        <v>9</v>
      </c>
      <c r="R13" s="264">
        <v>7</v>
      </c>
      <c r="S13" s="260">
        <v>2</v>
      </c>
      <c r="T13" s="264">
        <v>14</v>
      </c>
      <c r="U13" s="134">
        <v>12</v>
      </c>
      <c r="V13" s="264">
        <v>15</v>
      </c>
      <c r="W13" s="259">
        <v>26</v>
      </c>
      <c r="X13" s="264">
        <v>10</v>
      </c>
      <c r="Y13" s="262">
        <v>19</v>
      </c>
      <c r="Z13" s="264">
        <v>5</v>
      </c>
      <c r="AA13" s="259">
        <v>5</v>
      </c>
      <c r="AB13" s="261">
        <v>13</v>
      </c>
      <c r="AC13" s="260">
        <v>14</v>
      </c>
      <c r="AD13" s="265">
        <v>12</v>
      </c>
      <c r="AE13" s="260">
        <v>16</v>
      </c>
      <c r="AF13" s="261">
        <v>12</v>
      </c>
      <c r="AG13" s="260">
        <v>11</v>
      </c>
      <c r="AH13" s="259">
        <v>8</v>
      </c>
      <c r="AI13" s="260">
        <v>10</v>
      </c>
      <c r="AJ13" s="259">
        <v>12</v>
      </c>
      <c r="AK13" s="260">
        <v>12</v>
      </c>
      <c r="AL13" s="259">
        <v>17</v>
      </c>
      <c r="AM13" s="260">
        <v>18</v>
      </c>
      <c r="AN13" s="259">
        <v>7</v>
      </c>
      <c r="AO13" s="260">
        <v>10</v>
      </c>
      <c r="AP13" s="259">
        <v>9</v>
      </c>
      <c r="AQ13" s="260">
        <v>6</v>
      </c>
      <c r="AR13" s="259">
        <v>8</v>
      </c>
      <c r="AS13" s="260">
        <v>8</v>
      </c>
      <c r="AT13" s="261">
        <v>3</v>
      </c>
      <c r="AU13" s="260">
        <v>3</v>
      </c>
      <c r="AV13" s="259">
        <v>7</v>
      </c>
      <c r="AW13" s="260">
        <v>3</v>
      </c>
      <c r="AX13" s="132">
        <f t="shared" ref="AX13:AX52" si="0">SUM(AV13,AT13,AR13,AP13,AN13,AL13,AJ13,AH13,AF13,AD13,AB13,Z13,X13,V13,T13,R13,P13,N13,L13,J13)</f>
        <v>234</v>
      </c>
    </row>
    <row r="14" spans="1:51" x14ac:dyDescent="0.25">
      <c r="I14" s="135" t="s">
        <v>194</v>
      </c>
      <c r="J14" s="264">
        <v>9</v>
      </c>
      <c r="K14" s="268">
        <v>2</v>
      </c>
      <c r="L14" s="264">
        <v>38</v>
      </c>
      <c r="M14" s="134">
        <v>0</v>
      </c>
      <c r="N14" s="264">
        <v>13</v>
      </c>
      <c r="O14" s="260">
        <v>8</v>
      </c>
      <c r="P14" s="264">
        <v>12</v>
      </c>
      <c r="Q14" s="134">
        <v>12</v>
      </c>
      <c r="R14" s="264">
        <v>7</v>
      </c>
      <c r="S14" s="260">
        <v>0</v>
      </c>
      <c r="T14" s="264">
        <v>14</v>
      </c>
      <c r="U14" s="134">
        <v>5</v>
      </c>
      <c r="V14" s="264">
        <v>15</v>
      </c>
      <c r="W14" s="260">
        <v>11</v>
      </c>
      <c r="X14" s="264">
        <v>9</v>
      </c>
      <c r="Y14" s="260">
        <v>0</v>
      </c>
      <c r="Z14" s="264">
        <v>4</v>
      </c>
      <c r="AA14" s="260">
        <v>4</v>
      </c>
      <c r="AB14" s="259">
        <v>13</v>
      </c>
      <c r="AC14" s="260">
        <v>14</v>
      </c>
      <c r="AD14" s="265">
        <v>11</v>
      </c>
      <c r="AE14" s="260">
        <v>8</v>
      </c>
      <c r="AF14" s="264">
        <v>11</v>
      </c>
      <c r="AG14" s="260">
        <v>11</v>
      </c>
      <c r="AH14" s="259">
        <v>8</v>
      </c>
      <c r="AI14" s="260">
        <v>11</v>
      </c>
      <c r="AJ14" s="259">
        <v>12</v>
      </c>
      <c r="AK14" s="260">
        <v>12</v>
      </c>
      <c r="AL14" s="259">
        <v>17</v>
      </c>
      <c r="AM14" s="260">
        <v>20</v>
      </c>
      <c r="AN14" s="259">
        <v>7</v>
      </c>
      <c r="AO14" s="260">
        <v>5</v>
      </c>
      <c r="AP14" s="259">
        <v>9</v>
      </c>
      <c r="AQ14" s="260">
        <v>9</v>
      </c>
      <c r="AR14" s="259">
        <v>8</v>
      </c>
      <c r="AS14" s="260">
        <v>8</v>
      </c>
      <c r="AT14" s="259">
        <v>4</v>
      </c>
      <c r="AU14" s="260">
        <v>4</v>
      </c>
      <c r="AV14" s="259">
        <v>7</v>
      </c>
      <c r="AW14" s="260">
        <v>13</v>
      </c>
      <c r="AX14" s="132">
        <f t="shared" si="0"/>
        <v>228</v>
      </c>
    </row>
    <row r="15" spans="1:51" x14ac:dyDescent="0.25">
      <c r="I15" s="134" t="s">
        <v>195</v>
      </c>
      <c r="J15" s="264">
        <v>9</v>
      </c>
      <c r="K15" s="268"/>
      <c r="L15" s="264">
        <v>38</v>
      </c>
      <c r="M15" s="134"/>
      <c r="N15" s="264">
        <v>13</v>
      </c>
      <c r="O15" s="260"/>
      <c r="P15" s="264">
        <v>12</v>
      </c>
      <c r="Q15" s="134"/>
      <c r="R15" s="264">
        <v>7</v>
      </c>
      <c r="S15" s="260"/>
      <c r="T15" s="264">
        <v>14</v>
      </c>
      <c r="U15" s="134"/>
      <c r="V15" s="264">
        <v>15</v>
      </c>
      <c r="W15" s="260"/>
      <c r="X15" s="264">
        <v>9</v>
      </c>
      <c r="Y15" s="260"/>
      <c r="Z15" s="264">
        <v>4</v>
      </c>
      <c r="AA15" s="260"/>
      <c r="AB15" s="259">
        <v>13</v>
      </c>
      <c r="AC15" s="260"/>
      <c r="AD15" s="265">
        <v>11</v>
      </c>
      <c r="AE15" s="260"/>
      <c r="AF15" s="259">
        <v>12</v>
      </c>
      <c r="AG15" s="260"/>
      <c r="AH15" s="259">
        <v>8</v>
      </c>
      <c r="AI15" s="260"/>
      <c r="AJ15" s="259">
        <v>12</v>
      </c>
      <c r="AK15" s="130"/>
      <c r="AL15" s="259">
        <v>17</v>
      </c>
      <c r="AM15" s="260"/>
      <c r="AN15" s="259">
        <v>7</v>
      </c>
      <c r="AO15" s="260"/>
      <c r="AP15" s="259">
        <v>9</v>
      </c>
      <c r="AQ15" s="260"/>
      <c r="AR15" s="259">
        <v>8</v>
      </c>
      <c r="AS15" s="134"/>
      <c r="AT15" s="259">
        <v>4</v>
      </c>
      <c r="AU15" s="263"/>
      <c r="AV15" s="259">
        <v>7</v>
      </c>
      <c r="AW15" s="260"/>
      <c r="AX15" s="132">
        <f t="shared" si="0"/>
        <v>229</v>
      </c>
    </row>
    <row r="16" spans="1:51" x14ac:dyDescent="0.25">
      <c r="I16" s="135" t="s">
        <v>196</v>
      </c>
      <c r="J16" s="264">
        <v>9</v>
      </c>
      <c r="K16" s="268"/>
      <c r="L16" s="264">
        <v>39</v>
      </c>
      <c r="M16" s="134"/>
      <c r="N16" s="264">
        <v>14</v>
      </c>
      <c r="O16" s="260"/>
      <c r="P16" s="264">
        <v>13</v>
      </c>
      <c r="Q16" s="134"/>
      <c r="R16" s="264">
        <v>7</v>
      </c>
      <c r="S16" s="260"/>
      <c r="T16" s="264">
        <v>14</v>
      </c>
      <c r="U16" s="134"/>
      <c r="V16" s="264">
        <v>15</v>
      </c>
      <c r="W16" s="260"/>
      <c r="X16" s="264">
        <v>10</v>
      </c>
      <c r="Y16" s="260"/>
      <c r="Z16" s="264">
        <v>5</v>
      </c>
      <c r="AA16" s="260"/>
      <c r="AB16" s="259">
        <v>13</v>
      </c>
      <c r="AC16" s="260"/>
      <c r="AD16" s="265">
        <v>12</v>
      </c>
      <c r="AE16" s="260"/>
      <c r="AF16" s="259">
        <v>12</v>
      </c>
      <c r="AG16" s="260"/>
      <c r="AH16" s="259">
        <v>8</v>
      </c>
      <c r="AI16" s="260"/>
      <c r="AJ16" s="259">
        <v>12</v>
      </c>
      <c r="AK16" s="130"/>
      <c r="AL16" s="259">
        <v>17</v>
      </c>
      <c r="AM16" s="260"/>
      <c r="AN16" s="259">
        <v>7</v>
      </c>
      <c r="AO16" s="260"/>
      <c r="AP16" s="259">
        <v>9</v>
      </c>
      <c r="AQ16" s="260"/>
      <c r="AR16" s="259">
        <v>8</v>
      </c>
      <c r="AS16" s="134"/>
      <c r="AT16" s="259">
        <v>3</v>
      </c>
      <c r="AU16" s="260"/>
      <c r="AV16" s="259">
        <v>7</v>
      </c>
      <c r="AW16" s="260"/>
      <c r="AX16" s="132">
        <f t="shared" si="0"/>
        <v>234</v>
      </c>
    </row>
    <row r="17" spans="9:50" x14ac:dyDescent="0.25">
      <c r="I17" s="134" t="s">
        <v>197</v>
      </c>
      <c r="J17" s="264">
        <v>9</v>
      </c>
      <c r="K17" s="268"/>
      <c r="L17" s="264">
        <v>38</v>
      </c>
      <c r="M17" s="134"/>
      <c r="N17" s="264">
        <v>13</v>
      </c>
      <c r="O17" s="260"/>
      <c r="P17" s="264">
        <v>12</v>
      </c>
      <c r="Q17" s="134"/>
      <c r="R17" s="264">
        <v>7</v>
      </c>
      <c r="S17" s="260"/>
      <c r="T17" s="264">
        <v>14</v>
      </c>
      <c r="U17" s="134"/>
      <c r="V17" s="264">
        <v>15</v>
      </c>
      <c r="W17" s="260"/>
      <c r="X17" s="264">
        <v>9</v>
      </c>
      <c r="Y17" s="269"/>
      <c r="Z17" s="264">
        <v>4</v>
      </c>
      <c r="AA17" s="260"/>
      <c r="AB17" s="259">
        <v>13</v>
      </c>
      <c r="AC17" s="260"/>
      <c r="AD17" s="265">
        <v>11</v>
      </c>
      <c r="AE17" s="260"/>
      <c r="AF17" s="259">
        <v>12</v>
      </c>
      <c r="AG17" s="260"/>
      <c r="AH17" s="259">
        <v>8</v>
      </c>
      <c r="AI17" s="260"/>
      <c r="AJ17" s="259">
        <v>12</v>
      </c>
      <c r="AK17" s="130"/>
      <c r="AL17" s="259">
        <v>17</v>
      </c>
      <c r="AM17" s="260"/>
      <c r="AN17" s="259">
        <v>7</v>
      </c>
      <c r="AO17" s="260"/>
      <c r="AP17" s="259">
        <v>9</v>
      </c>
      <c r="AQ17" s="260"/>
      <c r="AR17" s="259">
        <v>8</v>
      </c>
      <c r="AS17" s="134"/>
      <c r="AT17" s="259">
        <v>4</v>
      </c>
      <c r="AU17" s="260"/>
      <c r="AV17" s="259">
        <v>7</v>
      </c>
      <c r="AW17" s="260"/>
      <c r="AX17" s="132">
        <f t="shared" si="0"/>
        <v>229</v>
      </c>
    </row>
    <row r="18" spans="9:50" x14ac:dyDescent="0.25">
      <c r="I18" s="135" t="s">
        <v>198</v>
      </c>
      <c r="J18" s="264">
        <v>9</v>
      </c>
      <c r="K18" s="268"/>
      <c r="L18" s="264">
        <v>39</v>
      </c>
      <c r="M18" s="134"/>
      <c r="N18" s="264">
        <v>14</v>
      </c>
      <c r="O18" s="260"/>
      <c r="P18" s="264">
        <v>13</v>
      </c>
      <c r="Q18" s="134"/>
      <c r="R18" s="264">
        <v>7</v>
      </c>
      <c r="S18" s="260"/>
      <c r="T18" s="264">
        <v>14</v>
      </c>
      <c r="U18" s="134"/>
      <c r="V18" s="264">
        <v>15</v>
      </c>
      <c r="W18" s="260"/>
      <c r="X18" s="264">
        <v>10</v>
      </c>
      <c r="Y18" s="260"/>
      <c r="Z18" s="264">
        <v>5</v>
      </c>
      <c r="AA18" s="260"/>
      <c r="AB18" s="259">
        <v>13</v>
      </c>
      <c r="AC18" s="260"/>
      <c r="AD18" s="265">
        <v>12</v>
      </c>
      <c r="AE18" s="260"/>
      <c r="AF18" s="259">
        <v>12</v>
      </c>
      <c r="AG18" s="260"/>
      <c r="AH18" s="259">
        <v>8</v>
      </c>
      <c r="AI18" s="260"/>
      <c r="AJ18" s="259">
        <v>12</v>
      </c>
      <c r="AK18" s="130"/>
      <c r="AL18" s="259">
        <v>17</v>
      </c>
      <c r="AM18" s="260"/>
      <c r="AN18" s="259">
        <v>7</v>
      </c>
      <c r="AO18" s="260"/>
      <c r="AP18" s="259">
        <v>9</v>
      </c>
      <c r="AQ18" s="260"/>
      <c r="AR18" s="259">
        <v>8</v>
      </c>
      <c r="AS18" s="134"/>
      <c r="AT18" s="259">
        <v>3</v>
      </c>
      <c r="AU18" s="260"/>
      <c r="AV18" s="259">
        <v>7</v>
      </c>
      <c r="AW18" s="260"/>
      <c r="AX18" s="132">
        <f t="shared" si="0"/>
        <v>234</v>
      </c>
    </row>
    <row r="19" spans="9:50" x14ac:dyDescent="0.25">
      <c r="I19" s="134" t="s">
        <v>199</v>
      </c>
      <c r="J19" s="264">
        <v>9</v>
      </c>
      <c r="K19" s="268"/>
      <c r="L19" s="264">
        <v>38</v>
      </c>
      <c r="M19" s="134"/>
      <c r="N19" s="264">
        <v>13</v>
      </c>
      <c r="O19" s="260"/>
      <c r="P19" s="264">
        <v>12</v>
      </c>
      <c r="Q19" s="134"/>
      <c r="R19" s="264">
        <v>7</v>
      </c>
      <c r="S19" s="260"/>
      <c r="T19" s="264">
        <v>14</v>
      </c>
      <c r="U19" s="134"/>
      <c r="V19" s="264">
        <v>15</v>
      </c>
      <c r="W19" s="260"/>
      <c r="X19" s="264">
        <v>9</v>
      </c>
      <c r="Y19" s="270"/>
      <c r="Z19" s="264">
        <v>4</v>
      </c>
      <c r="AA19" s="260"/>
      <c r="AB19" s="259">
        <v>13</v>
      </c>
      <c r="AC19" s="260"/>
      <c r="AD19" s="265">
        <v>11</v>
      </c>
      <c r="AE19" s="260"/>
      <c r="AF19" s="259">
        <v>12</v>
      </c>
      <c r="AG19" s="260"/>
      <c r="AH19" s="259">
        <v>8</v>
      </c>
      <c r="AI19" s="260"/>
      <c r="AJ19" s="259">
        <v>12</v>
      </c>
      <c r="AK19" s="260"/>
      <c r="AL19" s="259">
        <v>17</v>
      </c>
      <c r="AM19" s="260"/>
      <c r="AN19" s="259">
        <v>7</v>
      </c>
      <c r="AO19" s="260"/>
      <c r="AP19" s="259">
        <v>9</v>
      </c>
      <c r="AQ19" s="260"/>
      <c r="AR19" s="259">
        <v>8</v>
      </c>
      <c r="AS19" s="260"/>
      <c r="AT19" s="259">
        <v>4</v>
      </c>
      <c r="AU19" s="260"/>
      <c r="AV19" s="259">
        <v>7</v>
      </c>
      <c r="AW19" s="260"/>
      <c r="AX19" s="132">
        <f t="shared" si="0"/>
        <v>229</v>
      </c>
    </row>
    <row r="20" spans="9:50" ht="15" x14ac:dyDescent="0.25">
      <c r="I20" s="135" t="s">
        <v>200</v>
      </c>
      <c r="J20" s="264">
        <v>9</v>
      </c>
      <c r="K20" s="268"/>
      <c r="L20" s="264">
        <v>39</v>
      </c>
      <c r="M20" s="134"/>
      <c r="N20" s="264">
        <v>14</v>
      </c>
      <c r="O20" s="259"/>
      <c r="P20" s="264">
        <v>13</v>
      </c>
      <c r="Q20" s="134"/>
      <c r="R20" s="264">
        <v>7</v>
      </c>
      <c r="S20" s="260"/>
      <c r="T20" s="264">
        <v>14</v>
      </c>
      <c r="U20" s="134"/>
      <c r="V20" s="264">
        <v>15</v>
      </c>
      <c r="W20" s="259"/>
      <c r="X20" s="264">
        <v>10</v>
      </c>
      <c r="Y20" s="262"/>
      <c r="Z20" s="264">
        <v>5</v>
      </c>
      <c r="AA20" s="259"/>
      <c r="AB20" s="261">
        <v>13</v>
      </c>
      <c r="AC20" s="260"/>
      <c r="AD20" s="265">
        <v>12</v>
      </c>
      <c r="AE20" s="260"/>
      <c r="AF20" s="261">
        <v>12</v>
      </c>
      <c r="AG20" s="260"/>
      <c r="AH20" s="259">
        <v>8</v>
      </c>
      <c r="AI20" s="260"/>
      <c r="AJ20" s="259">
        <v>12</v>
      </c>
      <c r="AK20" s="260"/>
      <c r="AL20" s="259">
        <v>17</v>
      </c>
      <c r="AM20" s="260"/>
      <c r="AN20" s="259">
        <v>7</v>
      </c>
      <c r="AO20" s="260"/>
      <c r="AP20" s="259">
        <v>9</v>
      </c>
      <c r="AQ20" s="260"/>
      <c r="AR20" s="259">
        <v>8</v>
      </c>
      <c r="AS20" s="260"/>
      <c r="AT20" s="261">
        <v>3</v>
      </c>
      <c r="AU20" s="260"/>
      <c r="AV20" s="259">
        <v>7</v>
      </c>
      <c r="AW20" s="260"/>
      <c r="AX20" s="132">
        <f t="shared" si="0"/>
        <v>234</v>
      </c>
    </row>
    <row r="21" spans="9:50" x14ac:dyDescent="0.25">
      <c r="I21" s="134" t="s">
        <v>201</v>
      </c>
      <c r="J21" s="264">
        <v>9</v>
      </c>
      <c r="K21" s="268"/>
      <c r="L21" s="264">
        <v>38</v>
      </c>
      <c r="M21" s="134"/>
      <c r="N21" s="264">
        <v>13</v>
      </c>
      <c r="O21" s="260"/>
      <c r="P21" s="264">
        <v>12</v>
      </c>
      <c r="Q21" s="134"/>
      <c r="R21" s="264">
        <v>7</v>
      </c>
      <c r="S21" s="260"/>
      <c r="T21" s="264">
        <v>14</v>
      </c>
      <c r="U21" s="134"/>
      <c r="V21" s="264">
        <v>15</v>
      </c>
      <c r="W21" s="260"/>
      <c r="X21" s="264">
        <v>9</v>
      </c>
      <c r="Y21" s="260"/>
      <c r="Z21" s="264">
        <v>4</v>
      </c>
      <c r="AA21" s="260"/>
      <c r="AB21" s="259">
        <v>13</v>
      </c>
      <c r="AC21" s="260"/>
      <c r="AD21" s="265">
        <v>11</v>
      </c>
      <c r="AE21" s="260"/>
      <c r="AF21" s="264">
        <v>11</v>
      </c>
      <c r="AG21" s="260"/>
      <c r="AH21" s="259">
        <v>8</v>
      </c>
      <c r="AI21" s="260"/>
      <c r="AJ21" s="259">
        <v>12</v>
      </c>
      <c r="AK21" s="260"/>
      <c r="AL21" s="259">
        <v>17</v>
      </c>
      <c r="AM21" s="260"/>
      <c r="AN21" s="259">
        <v>7</v>
      </c>
      <c r="AO21" s="260"/>
      <c r="AP21" s="259">
        <v>9</v>
      </c>
      <c r="AQ21" s="260"/>
      <c r="AR21" s="259">
        <v>8</v>
      </c>
      <c r="AS21" s="260"/>
      <c r="AT21" s="259">
        <v>4</v>
      </c>
      <c r="AU21" s="260"/>
      <c r="AV21" s="259">
        <v>7</v>
      </c>
      <c r="AW21" s="260"/>
      <c r="AX21" s="132">
        <f t="shared" si="0"/>
        <v>228</v>
      </c>
    </row>
    <row r="22" spans="9:50" x14ac:dyDescent="0.25">
      <c r="I22" s="135" t="s">
        <v>202</v>
      </c>
      <c r="J22" s="264">
        <v>9</v>
      </c>
      <c r="K22" s="268"/>
      <c r="L22" s="264">
        <v>39</v>
      </c>
      <c r="M22" s="134"/>
      <c r="N22" s="264">
        <v>14</v>
      </c>
      <c r="O22" s="260"/>
      <c r="P22" s="264">
        <v>13</v>
      </c>
      <c r="Q22" s="134"/>
      <c r="R22" s="264">
        <v>7</v>
      </c>
      <c r="S22" s="260"/>
      <c r="T22" s="264">
        <v>14</v>
      </c>
      <c r="U22" s="134"/>
      <c r="V22" s="264">
        <v>15</v>
      </c>
      <c r="W22" s="260"/>
      <c r="X22" s="264">
        <v>10</v>
      </c>
      <c r="Y22" s="260"/>
      <c r="Z22" s="264">
        <v>5</v>
      </c>
      <c r="AA22" s="260"/>
      <c r="AB22" s="259">
        <v>13</v>
      </c>
      <c r="AC22" s="260"/>
      <c r="AD22" s="265">
        <v>12</v>
      </c>
      <c r="AE22" s="260"/>
      <c r="AF22" s="264">
        <v>11</v>
      </c>
      <c r="AG22" s="260"/>
      <c r="AH22" s="259">
        <v>8</v>
      </c>
      <c r="AI22" s="260"/>
      <c r="AJ22" s="259">
        <v>12</v>
      </c>
      <c r="AK22" s="260"/>
      <c r="AL22" s="259">
        <v>17</v>
      </c>
      <c r="AM22" s="260"/>
      <c r="AN22" s="259">
        <v>7</v>
      </c>
      <c r="AO22" s="260"/>
      <c r="AP22" s="259">
        <v>9</v>
      </c>
      <c r="AQ22" s="260"/>
      <c r="AR22" s="259">
        <v>8</v>
      </c>
      <c r="AS22" s="260"/>
      <c r="AT22" s="259">
        <v>3</v>
      </c>
      <c r="AU22" s="260"/>
      <c r="AV22" s="259">
        <v>7</v>
      </c>
      <c r="AW22" s="260"/>
      <c r="AX22" s="132">
        <f t="shared" si="0"/>
        <v>233</v>
      </c>
    </row>
    <row r="23" spans="9:50" x14ac:dyDescent="0.25">
      <c r="I23" s="134" t="s">
        <v>203</v>
      </c>
      <c r="J23" s="264">
        <v>9</v>
      </c>
      <c r="K23" s="268"/>
      <c r="L23" s="264">
        <v>38</v>
      </c>
      <c r="M23" s="134"/>
      <c r="N23" s="264">
        <v>13</v>
      </c>
      <c r="O23" s="260"/>
      <c r="P23" s="264">
        <v>12</v>
      </c>
      <c r="Q23" s="134"/>
      <c r="R23" s="264">
        <v>7</v>
      </c>
      <c r="S23" s="260"/>
      <c r="T23" s="264">
        <v>14</v>
      </c>
      <c r="U23" s="134"/>
      <c r="V23" s="264">
        <v>15</v>
      </c>
      <c r="W23" s="260"/>
      <c r="X23" s="264">
        <v>9</v>
      </c>
      <c r="Y23" s="260"/>
      <c r="Z23" s="264">
        <v>4</v>
      </c>
      <c r="AA23" s="260"/>
      <c r="AB23" s="259">
        <v>13</v>
      </c>
      <c r="AC23" s="260"/>
      <c r="AD23" s="265">
        <v>11</v>
      </c>
      <c r="AE23" s="260"/>
      <c r="AF23" s="264">
        <v>11</v>
      </c>
      <c r="AG23" s="260"/>
      <c r="AH23" s="259">
        <v>8</v>
      </c>
      <c r="AI23" s="260"/>
      <c r="AJ23" s="259">
        <v>12</v>
      </c>
      <c r="AK23" s="260"/>
      <c r="AL23" s="259">
        <v>17</v>
      </c>
      <c r="AM23" s="260"/>
      <c r="AN23" s="259">
        <v>7</v>
      </c>
      <c r="AO23" s="260"/>
      <c r="AP23" s="259">
        <v>9</v>
      </c>
      <c r="AQ23" s="260"/>
      <c r="AR23" s="259">
        <v>8</v>
      </c>
      <c r="AS23" s="260"/>
      <c r="AT23" s="259">
        <v>4</v>
      </c>
      <c r="AU23" s="260"/>
      <c r="AV23" s="259">
        <v>7</v>
      </c>
      <c r="AW23" s="260"/>
      <c r="AX23" s="132">
        <f t="shared" si="0"/>
        <v>228</v>
      </c>
    </row>
    <row r="24" spans="9:50" ht="14.25" thickBot="1" x14ac:dyDescent="0.3">
      <c r="I24" s="135" t="s">
        <v>204</v>
      </c>
      <c r="J24" s="264">
        <v>9</v>
      </c>
      <c r="K24" s="268"/>
      <c r="L24" s="264">
        <v>39</v>
      </c>
      <c r="M24" s="134"/>
      <c r="N24" s="264">
        <v>14</v>
      </c>
      <c r="O24" s="260"/>
      <c r="P24" s="264">
        <v>13</v>
      </c>
      <c r="Q24" s="134"/>
      <c r="R24" s="264">
        <v>7</v>
      </c>
      <c r="S24" s="260"/>
      <c r="T24" s="264">
        <v>14</v>
      </c>
      <c r="U24" s="134"/>
      <c r="V24" s="264">
        <v>15</v>
      </c>
      <c r="W24" s="260"/>
      <c r="X24" s="264">
        <v>10</v>
      </c>
      <c r="Y24" s="260"/>
      <c r="Z24" s="264">
        <v>5</v>
      </c>
      <c r="AA24" s="260"/>
      <c r="AB24" s="259">
        <v>13</v>
      </c>
      <c r="AC24" s="260"/>
      <c r="AD24" s="265">
        <v>12</v>
      </c>
      <c r="AE24" s="260"/>
      <c r="AF24" s="264">
        <v>11</v>
      </c>
      <c r="AG24" s="260"/>
      <c r="AH24" s="259">
        <v>8</v>
      </c>
      <c r="AI24" s="260"/>
      <c r="AJ24" s="259">
        <v>12</v>
      </c>
      <c r="AK24" s="260"/>
      <c r="AL24" s="259">
        <v>17</v>
      </c>
      <c r="AM24" s="260"/>
      <c r="AN24" s="259">
        <v>7</v>
      </c>
      <c r="AO24" s="260"/>
      <c r="AP24" s="259">
        <v>9</v>
      </c>
      <c r="AQ24" s="260"/>
      <c r="AR24" s="259">
        <v>8</v>
      </c>
      <c r="AS24" s="260"/>
      <c r="AT24" s="259">
        <v>3</v>
      </c>
      <c r="AU24" s="260"/>
      <c r="AV24" s="259">
        <v>7</v>
      </c>
      <c r="AW24" s="260"/>
      <c r="AX24" s="132">
        <f t="shared" si="0"/>
        <v>233</v>
      </c>
    </row>
    <row r="25" spans="9:50" ht="15" thickBot="1" x14ac:dyDescent="0.3">
      <c r="J25" s="185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7"/>
      <c r="AD25" s="136"/>
      <c r="AE25" s="136"/>
      <c r="AF25" s="136"/>
      <c r="AG25" s="137"/>
      <c r="AX25" s="132">
        <f t="shared" si="0"/>
        <v>0</v>
      </c>
    </row>
    <row r="26" spans="9:50" s="132" customFormat="1" x14ac:dyDescent="0.25">
      <c r="I26" s="138" t="s">
        <v>205</v>
      </c>
      <c r="J26" s="276">
        <v>2</v>
      </c>
      <c r="K26" s="276"/>
      <c r="L26" s="276">
        <v>4</v>
      </c>
      <c r="M26" s="276"/>
      <c r="N26" s="277">
        <v>5</v>
      </c>
      <c r="O26" s="276"/>
      <c r="P26" s="276">
        <v>5</v>
      </c>
      <c r="Q26" s="278"/>
      <c r="R26" s="276">
        <v>3</v>
      </c>
      <c r="S26" s="276"/>
      <c r="T26" s="276">
        <v>4</v>
      </c>
      <c r="U26" s="276"/>
      <c r="V26" s="276">
        <v>7</v>
      </c>
      <c r="W26" s="279"/>
      <c r="X26" s="277">
        <v>3</v>
      </c>
      <c r="Y26" s="276"/>
      <c r="Z26" s="266">
        <v>1</v>
      </c>
      <c r="AA26" s="276"/>
      <c r="AB26" s="277">
        <v>4</v>
      </c>
      <c r="AC26" s="276"/>
      <c r="AD26" s="276">
        <v>3</v>
      </c>
      <c r="AE26" s="276"/>
      <c r="AF26" s="277">
        <v>7</v>
      </c>
      <c r="AG26" s="276"/>
      <c r="AH26" s="266">
        <v>3</v>
      </c>
      <c r="AI26" s="276"/>
      <c r="AJ26" s="277">
        <v>6</v>
      </c>
      <c r="AK26" s="280"/>
      <c r="AL26" s="277">
        <v>5</v>
      </c>
      <c r="AM26" s="276"/>
      <c r="AN26" s="276">
        <v>2</v>
      </c>
      <c r="AO26" s="276"/>
      <c r="AP26" s="277">
        <v>3</v>
      </c>
      <c r="AQ26" s="281"/>
      <c r="AR26" s="266">
        <v>4</v>
      </c>
      <c r="AS26" s="278"/>
      <c r="AT26" s="276">
        <v>1</v>
      </c>
      <c r="AU26" s="276"/>
      <c r="AV26" s="266">
        <v>8</v>
      </c>
      <c r="AW26" s="276"/>
      <c r="AX26" s="132">
        <f t="shared" si="0"/>
        <v>80</v>
      </c>
    </row>
    <row r="27" spans="9:50" x14ac:dyDescent="0.25">
      <c r="I27" s="134" t="s">
        <v>193</v>
      </c>
      <c r="J27" s="130">
        <v>1</v>
      </c>
      <c r="K27" s="130">
        <v>4</v>
      </c>
      <c r="L27" s="130">
        <v>2</v>
      </c>
      <c r="M27" s="130">
        <v>0</v>
      </c>
      <c r="N27" s="275">
        <v>2</v>
      </c>
      <c r="O27" s="130">
        <v>6</v>
      </c>
      <c r="P27" s="271">
        <v>2</v>
      </c>
      <c r="Q27" s="139">
        <v>2</v>
      </c>
      <c r="R27" s="271">
        <v>1</v>
      </c>
      <c r="S27" s="130">
        <v>1</v>
      </c>
      <c r="T27" s="271">
        <v>2</v>
      </c>
      <c r="U27" s="130">
        <v>6</v>
      </c>
      <c r="V27" s="271">
        <v>3</v>
      </c>
      <c r="W27" s="131">
        <v>5</v>
      </c>
      <c r="X27" s="275">
        <v>1</v>
      </c>
      <c r="Y27" s="130">
        <v>2</v>
      </c>
      <c r="Z27" s="275">
        <v>1</v>
      </c>
      <c r="AA27" s="130">
        <v>1</v>
      </c>
      <c r="AB27" s="275">
        <v>2</v>
      </c>
      <c r="AC27" s="130">
        <v>3</v>
      </c>
      <c r="AD27" s="271">
        <v>1</v>
      </c>
      <c r="AE27" s="130">
        <v>2</v>
      </c>
      <c r="AF27" s="275">
        <v>4</v>
      </c>
      <c r="AG27" s="130">
        <v>6</v>
      </c>
      <c r="AH27" s="275">
        <v>2</v>
      </c>
      <c r="AI27" s="130">
        <v>3</v>
      </c>
      <c r="AJ27" s="275">
        <v>3</v>
      </c>
      <c r="AK27" s="130">
        <v>4</v>
      </c>
      <c r="AL27" s="275">
        <v>3</v>
      </c>
      <c r="AM27" s="130">
        <v>5</v>
      </c>
      <c r="AN27" s="271">
        <v>1</v>
      </c>
      <c r="AO27" s="130">
        <v>2</v>
      </c>
      <c r="AP27" s="275">
        <v>2</v>
      </c>
      <c r="AQ27" s="130">
        <v>3</v>
      </c>
      <c r="AR27" s="275">
        <v>2</v>
      </c>
      <c r="AS27" s="130">
        <v>4</v>
      </c>
      <c r="AT27" s="271">
        <v>0</v>
      </c>
      <c r="AU27" s="130">
        <v>1</v>
      </c>
      <c r="AV27" s="275">
        <v>4</v>
      </c>
      <c r="AW27" s="130">
        <v>7</v>
      </c>
      <c r="AX27" s="132">
        <f t="shared" si="0"/>
        <v>39</v>
      </c>
    </row>
    <row r="28" spans="9:50" ht="15" x14ac:dyDescent="0.25">
      <c r="I28" s="135" t="s">
        <v>194</v>
      </c>
      <c r="J28" s="130">
        <v>1</v>
      </c>
      <c r="K28" s="130">
        <v>1</v>
      </c>
      <c r="L28" s="130">
        <v>2</v>
      </c>
      <c r="M28" s="130">
        <v>0</v>
      </c>
      <c r="N28" s="275">
        <v>3</v>
      </c>
      <c r="O28" s="272">
        <v>3</v>
      </c>
      <c r="P28" s="271">
        <v>3</v>
      </c>
      <c r="Q28" s="139">
        <v>5</v>
      </c>
      <c r="R28" s="271">
        <v>2</v>
      </c>
      <c r="S28" s="130">
        <v>1</v>
      </c>
      <c r="T28" s="271">
        <v>2</v>
      </c>
      <c r="U28" s="130">
        <v>1</v>
      </c>
      <c r="V28" s="271">
        <v>4</v>
      </c>
      <c r="W28" s="131">
        <v>6</v>
      </c>
      <c r="X28" s="275">
        <v>2</v>
      </c>
      <c r="Y28" s="262">
        <v>5</v>
      </c>
      <c r="Z28" s="275">
        <v>0</v>
      </c>
      <c r="AA28" s="274">
        <v>1</v>
      </c>
      <c r="AB28" s="275">
        <v>2</v>
      </c>
      <c r="AC28" s="130">
        <v>3</v>
      </c>
      <c r="AD28" s="271">
        <v>2</v>
      </c>
      <c r="AE28" s="130">
        <v>1</v>
      </c>
      <c r="AF28" s="275">
        <v>3</v>
      </c>
      <c r="AG28" s="130">
        <v>6</v>
      </c>
      <c r="AH28" s="275">
        <v>1</v>
      </c>
      <c r="AI28" s="130">
        <v>3</v>
      </c>
      <c r="AJ28" s="265">
        <v>3</v>
      </c>
      <c r="AK28" s="260">
        <v>3</v>
      </c>
      <c r="AL28" s="275">
        <v>2</v>
      </c>
      <c r="AM28" s="260">
        <v>5</v>
      </c>
      <c r="AN28" s="271">
        <v>1</v>
      </c>
      <c r="AO28" s="130">
        <v>2</v>
      </c>
      <c r="AP28" s="275">
        <v>1</v>
      </c>
      <c r="AQ28" s="130">
        <v>3</v>
      </c>
      <c r="AR28" s="275">
        <v>2</v>
      </c>
      <c r="AS28" s="130">
        <v>4</v>
      </c>
      <c r="AT28" s="271">
        <v>1</v>
      </c>
      <c r="AU28" s="130">
        <v>1</v>
      </c>
      <c r="AV28" s="275">
        <v>4</v>
      </c>
      <c r="AW28" s="130">
        <v>7</v>
      </c>
      <c r="AX28" s="132">
        <f t="shared" si="0"/>
        <v>41</v>
      </c>
    </row>
    <row r="29" spans="9:50" x14ac:dyDescent="0.25">
      <c r="I29" s="134" t="s">
        <v>195</v>
      </c>
      <c r="J29" s="130">
        <v>1</v>
      </c>
      <c r="K29" s="130"/>
      <c r="L29" s="130">
        <v>2</v>
      </c>
      <c r="M29" s="130"/>
      <c r="N29" s="275">
        <v>2</v>
      </c>
      <c r="O29" s="130"/>
      <c r="P29" s="271">
        <v>2</v>
      </c>
      <c r="Q29" s="139"/>
      <c r="R29" s="271">
        <v>1</v>
      </c>
      <c r="S29" s="130"/>
      <c r="T29" s="271">
        <v>2</v>
      </c>
      <c r="U29" s="130"/>
      <c r="V29" s="271">
        <v>3</v>
      </c>
      <c r="W29" s="131"/>
      <c r="X29" s="275">
        <v>1</v>
      </c>
      <c r="Y29" s="130"/>
      <c r="Z29" s="275">
        <v>1</v>
      </c>
      <c r="AA29" s="130"/>
      <c r="AB29" s="275">
        <v>2</v>
      </c>
      <c r="AC29" s="130"/>
      <c r="AD29" s="271">
        <v>1</v>
      </c>
      <c r="AE29" s="130"/>
      <c r="AF29" s="275">
        <v>4</v>
      </c>
      <c r="AG29" s="130"/>
      <c r="AH29" s="275">
        <v>2</v>
      </c>
      <c r="AI29" s="130"/>
      <c r="AJ29" s="275">
        <v>3</v>
      </c>
      <c r="AK29" s="130"/>
      <c r="AL29" s="275">
        <v>3</v>
      </c>
      <c r="AM29" s="130"/>
      <c r="AN29" s="271">
        <v>1</v>
      </c>
      <c r="AO29" s="130"/>
      <c r="AP29" s="275">
        <v>2</v>
      </c>
      <c r="AQ29" s="130"/>
      <c r="AR29" s="275">
        <v>2</v>
      </c>
      <c r="AS29" s="130"/>
      <c r="AT29" s="271">
        <v>0</v>
      </c>
      <c r="AU29" s="130"/>
      <c r="AV29" s="275">
        <v>4</v>
      </c>
      <c r="AW29" s="130"/>
      <c r="AX29" s="132">
        <f t="shared" si="0"/>
        <v>39</v>
      </c>
    </row>
    <row r="30" spans="9:50" x14ac:dyDescent="0.25">
      <c r="I30" s="135" t="s">
        <v>196</v>
      </c>
      <c r="J30" s="130">
        <v>1</v>
      </c>
      <c r="K30" s="130"/>
      <c r="L30" s="130">
        <v>2</v>
      </c>
      <c r="M30" s="130"/>
      <c r="N30" s="275">
        <v>3</v>
      </c>
      <c r="O30" s="130"/>
      <c r="P30" s="271">
        <v>3</v>
      </c>
      <c r="Q30" s="139"/>
      <c r="R30" s="271">
        <v>2</v>
      </c>
      <c r="S30" s="130"/>
      <c r="T30" s="271">
        <v>2</v>
      </c>
      <c r="U30" s="130"/>
      <c r="V30" s="271">
        <v>4</v>
      </c>
      <c r="W30" s="131"/>
      <c r="X30" s="275">
        <v>2</v>
      </c>
      <c r="Y30" s="130"/>
      <c r="Z30" s="275">
        <v>0</v>
      </c>
      <c r="AA30" s="130"/>
      <c r="AB30" s="275">
        <v>2</v>
      </c>
      <c r="AC30" s="130"/>
      <c r="AD30" s="271">
        <v>2</v>
      </c>
      <c r="AE30" s="130"/>
      <c r="AF30" s="275">
        <v>3</v>
      </c>
      <c r="AG30" s="130"/>
      <c r="AH30" s="275">
        <v>1</v>
      </c>
      <c r="AI30" s="130"/>
      <c r="AJ30" s="265">
        <v>3</v>
      </c>
      <c r="AK30" s="130"/>
      <c r="AL30" s="275">
        <v>2</v>
      </c>
      <c r="AM30" s="130"/>
      <c r="AN30" s="271">
        <v>1</v>
      </c>
      <c r="AO30" s="130"/>
      <c r="AP30" s="275">
        <v>1</v>
      </c>
      <c r="AQ30" s="130"/>
      <c r="AR30" s="275">
        <v>2</v>
      </c>
      <c r="AS30" s="130"/>
      <c r="AT30" s="271">
        <v>1</v>
      </c>
      <c r="AU30" s="130"/>
      <c r="AV30" s="275">
        <v>4</v>
      </c>
      <c r="AW30" s="130"/>
      <c r="AX30" s="132">
        <f t="shared" si="0"/>
        <v>41</v>
      </c>
    </row>
    <row r="31" spans="9:50" x14ac:dyDescent="0.25">
      <c r="I31" s="134" t="s">
        <v>197</v>
      </c>
      <c r="J31" s="130">
        <v>1</v>
      </c>
      <c r="K31" s="130"/>
      <c r="L31" s="130">
        <v>2</v>
      </c>
      <c r="M31" s="130"/>
      <c r="N31" s="275">
        <v>2</v>
      </c>
      <c r="O31" s="130"/>
      <c r="P31" s="271">
        <v>2</v>
      </c>
      <c r="Q31" s="139"/>
      <c r="R31" s="271">
        <v>1</v>
      </c>
      <c r="S31" s="130"/>
      <c r="T31" s="271">
        <v>2</v>
      </c>
      <c r="U31" s="130"/>
      <c r="V31" s="271">
        <v>3</v>
      </c>
      <c r="W31" s="131"/>
      <c r="X31" s="275">
        <v>1</v>
      </c>
      <c r="Y31" s="130"/>
      <c r="Z31" s="275">
        <v>1</v>
      </c>
      <c r="AA31" s="130"/>
      <c r="AB31" s="275">
        <v>2</v>
      </c>
      <c r="AC31" s="130"/>
      <c r="AD31" s="271">
        <v>1</v>
      </c>
      <c r="AE31" s="130"/>
      <c r="AF31" s="275">
        <v>4</v>
      </c>
      <c r="AG31" s="130"/>
      <c r="AH31" s="275">
        <v>2</v>
      </c>
      <c r="AI31" s="130"/>
      <c r="AJ31" s="275">
        <v>3</v>
      </c>
      <c r="AK31" s="130"/>
      <c r="AL31" s="275">
        <v>3</v>
      </c>
      <c r="AM31" s="130"/>
      <c r="AN31" s="271">
        <v>1</v>
      </c>
      <c r="AO31" s="130"/>
      <c r="AP31" s="275">
        <v>2</v>
      </c>
      <c r="AQ31" s="130"/>
      <c r="AR31" s="275">
        <v>2</v>
      </c>
      <c r="AS31" s="130"/>
      <c r="AT31" s="271">
        <v>0</v>
      </c>
      <c r="AU31" s="130"/>
      <c r="AV31" s="275">
        <v>4</v>
      </c>
      <c r="AW31" s="130"/>
      <c r="AX31" s="132">
        <f t="shared" si="0"/>
        <v>39</v>
      </c>
    </row>
    <row r="32" spans="9:50" s="141" customFormat="1" x14ac:dyDescent="0.25">
      <c r="I32" s="140" t="s">
        <v>198</v>
      </c>
      <c r="J32" s="130">
        <v>1</v>
      </c>
      <c r="K32" s="130"/>
      <c r="L32" s="130">
        <v>2</v>
      </c>
      <c r="M32" s="130"/>
      <c r="N32" s="275">
        <v>3</v>
      </c>
      <c r="O32" s="130"/>
      <c r="P32" s="271">
        <v>3</v>
      </c>
      <c r="Q32" s="139"/>
      <c r="R32" s="271">
        <v>2</v>
      </c>
      <c r="S32" s="130"/>
      <c r="T32" s="271">
        <v>2</v>
      </c>
      <c r="U32" s="130"/>
      <c r="V32" s="271">
        <v>4</v>
      </c>
      <c r="W32" s="273"/>
      <c r="X32" s="275">
        <v>2</v>
      </c>
      <c r="Y32" s="130"/>
      <c r="Z32" s="275">
        <v>0</v>
      </c>
      <c r="AA32" s="130"/>
      <c r="AB32" s="275">
        <v>2</v>
      </c>
      <c r="AC32" s="130"/>
      <c r="AD32" s="271">
        <v>2</v>
      </c>
      <c r="AE32" s="130"/>
      <c r="AF32" s="275">
        <v>3</v>
      </c>
      <c r="AG32" s="130"/>
      <c r="AH32" s="275">
        <v>1</v>
      </c>
      <c r="AI32" s="130"/>
      <c r="AJ32" s="265">
        <v>3</v>
      </c>
      <c r="AK32" s="130"/>
      <c r="AL32" s="275">
        <v>2</v>
      </c>
      <c r="AM32" s="130"/>
      <c r="AN32" s="271">
        <v>1</v>
      </c>
      <c r="AO32" s="130"/>
      <c r="AP32" s="275">
        <v>1</v>
      </c>
      <c r="AQ32" s="260"/>
      <c r="AR32" s="275">
        <v>2</v>
      </c>
      <c r="AS32" s="260"/>
      <c r="AT32" s="271">
        <v>1</v>
      </c>
      <c r="AU32" s="130"/>
      <c r="AV32" s="275">
        <v>4</v>
      </c>
      <c r="AW32" s="130"/>
      <c r="AX32" s="132">
        <f t="shared" si="0"/>
        <v>41</v>
      </c>
    </row>
    <row r="33" spans="9:50" s="141" customFormat="1" x14ac:dyDescent="0.25">
      <c r="I33" s="139" t="s">
        <v>199</v>
      </c>
      <c r="J33" s="130">
        <v>1</v>
      </c>
      <c r="K33" s="130"/>
      <c r="L33" s="130">
        <v>2</v>
      </c>
      <c r="M33" s="130"/>
      <c r="N33" s="275">
        <v>2</v>
      </c>
      <c r="O33" s="130"/>
      <c r="P33" s="271">
        <v>2</v>
      </c>
      <c r="Q33" s="139"/>
      <c r="R33" s="271">
        <v>1</v>
      </c>
      <c r="S33" s="130"/>
      <c r="T33" s="271">
        <v>2</v>
      </c>
      <c r="U33" s="130"/>
      <c r="V33" s="271">
        <v>3</v>
      </c>
      <c r="W33" s="131"/>
      <c r="X33" s="275">
        <v>1</v>
      </c>
      <c r="Y33" s="130"/>
      <c r="Z33" s="275">
        <v>1</v>
      </c>
      <c r="AA33" s="130"/>
      <c r="AB33" s="275">
        <v>2</v>
      </c>
      <c r="AC33" s="130"/>
      <c r="AD33" s="271">
        <v>1</v>
      </c>
      <c r="AE33" s="130"/>
      <c r="AF33" s="275">
        <v>4</v>
      </c>
      <c r="AG33" s="130"/>
      <c r="AH33" s="275">
        <v>2</v>
      </c>
      <c r="AI33" s="130"/>
      <c r="AJ33" s="275">
        <v>3</v>
      </c>
      <c r="AK33" s="130"/>
      <c r="AL33" s="275">
        <v>3</v>
      </c>
      <c r="AM33" s="130"/>
      <c r="AN33" s="271">
        <v>1</v>
      </c>
      <c r="AO33" s="130"/>
      <c r="AP33" s="275">
        <v>2</v>
      </c>
      <c r="AQ33" s="130"/>
      <c r="AR33" s="275">
        <v>2</v>
      </c>
      <c r="AS33" s="130"/>
      <c r="AT33" s="271">
        <v>0</v>
      </c>
      <c r="AU33" s="130"/>
      <c r="AV33" s="275">
        <v>4</v>
      </c>
      <c r="AW33" s="130"/>
      <c r="AX33" s="132">
        <f t="shared" si="0"/>
        <v>39</v>
      </c>
    </row>
    <row r="34" spans="9:50" s="141" customFormat="1" ht="15" x14ac:dyDescent="0.25">
      <c r="I34" s="140" t="s">
        <v>200</v>
      </c>
      <c r="J34" s="130">
        <v>1</v>
      </c>
      <c r="K34" s="130"/>
      <c r="L34" s="130">
        <v>2</v>
      </c>
      <c r="M34" s="130"/>
      <c r="N34" s="275">
        <v>3</v>
      </c>
      <c r="O34" s="272"/>
      <c r="P34" s="271">
        <v>3</v>
      </c>
      <c r="Q34" s="139"/>
      <c r="R34" s="271">
        <v>2</v>
      </c>
      <c r="S34" s="130"/>
      <c r="T34" s="271">
        <v>2</v>
      </c>
      <c r="U34" s="130"/>
      <c r="V34" s="271">
        <v>4</v>
      </c>
      <c r="W34" s="131"/>
      <c r="X34" s="275">
        <v>2</v>
      </c>
      <c r="Y34" s="262"/>
      <c r="Z34" s="275">
        <v>0</v>
      </c>
      <c r="AA34" s="274"/>
      <c r="AB34" s="275">
        <v>2</v>
      </c>
      <c r="AC34" s="130"/>
      <c r="AD34" s="271">
        <v>2</v>
      </c>
      <c r="AE34" s="130"/>
      <c r="AF34" s="275">
        <v>3</v>
      </c>
      <c r="AG34" s="130"/>
      <c r="AH34" s="275">
        <v>1</v>
      </c>
      <c r="AI34" s="130"/>
      <c r="AJ34" s="265">
        <v>3</v>
      </c>
      <c r="AK34" s="260"/>
      <c r="AL34" s="275">
        <v>2</v>
      </c>
      <c r="AM34" s="260"/>
      <c r="AN34" s="271">
        <v>1</v>
      </c>
      <c r="AO34" s="130"/>
      <c r="AP34" s="275">
        <v>1</v>
      </c>
      <c r="AQ34" s="130"/>
      <c r="AR34" s="275">
        <v>2</v>
      </c>
      <c r="AS34" s="130"/>
      <c r="AT34" s="271">
        <v>1</v>
      </c>
      <c r="AU34" s="130"/>
      <c r="AV34" s="275">
        <v>4</v>
      </c>
      <c r="AW34" s="130"/>
      <c r="AX34" s="132">
        <f t="shared" si="0"/>
        <v>41</v>
      </c>
    </row>
    <row r="35" spans="9:50" s="141" customFormat="1" x14ac:dyDescent="0.25">
      <c r="I35" s="139" t="s">
        <v>201</v>
      </c>
      <c r="J35" s="130">
        <v>1</v>
      </c>
      <c r="K35" s="130"/>
      <c r="L35" s="130">
        <v>2</v>
      </c>
      <c r="M35" s="130"/>
      <c r="N35" s="275">
        <v>2</v>
      </c>
      <c r="O35" s="130"/>
      <c r="P35" s="271">
        <v>2</v>
      </c>
      <c r="Q35" s="139"/>
      <c r="R35" s="271">
        <v>1</v>
      </c>
      <c r="S35" s="130"/>
      <c r="T35" s="271">
        <v>2</v>
      </c>
      <c r="U35" s="130"/>
      <c r="V35" s="271">
        <v>3</v>
      </c>
      <c r="W35" s="131"/>
      <c r="X35" s="275">
        <v>1</v>
      </c>
      <c r="Y35" s="130"/>
      <c r="Z35" s="275">
        <v>1</v>
      </c>
      <c r="AA35" s="130"/>
      <c r="AB35" s="275">
        <v>2</v>
      </c>
      <c r="AC35" s="130"/>
      <c r="AD35" s="271">
        <v>1</v>
      </c>
      <c r="AE35" s="130"/>
      <c r="AF35" s="275">
        <v>4</v>
      </c>
      <c r="AH35" s="275">
        <v>2</v>
      </c>
      <c r="AI35" s="130"/>
      <c r="AJ35" s="275">
        <v>3</v>
      </c>
      <c r="AK35" s="130"/>
      <c r="AL35" s="275">
        <v>3</v>
      </c>
      <c r="AM35" s="130"/>
      <c r="AN35" s="271">
        <v>1</v>
      </c>
      <c r="AO35" s="282"/>
      <c r="AP35" s="275">
        <v>2</v>
      </c>
      <c r="AQ35" s="130"/>
      <c r="AR35" s="275">
        <v>2</v>
      </c>
      <c r="AS35" s="130"/>
      <c r="AT35" s="271">
        <v>0</v>
      </c>
      <c r="AU35" s="130"/>
      <c r="AV35" s="275">
        <v>4</v>
      </c>
      <c r="AW35" s="130"/>
      <c r="AX35" s="132">
        <f t="shared" si="0"/>
        <v>39</v>
      </c>
    </row>
    <row r="36" spans="9:50" s="141" customFormat="1" x14ac:dyDescent="0.25">
      <c r="I36" s="140" t="s">
        <v>202</v>
      </c>
      <c r="J36" s="130">
        <v>1</v>
      </c>
      <c r="K36" s="130"/>
      <c r="L36" s="130">
        <v>2</v>
      </c>
      <c r="M36" s="130"/>
      <c r="N36" s="275">
        <v>3</v>
      </c>
      <c r="O36" s="130"/>
      <c r="P36" s="271">
        <v>3</v>
      </c>
      <c r="Q36" s="139"/>
      <c r="R36" s="271">
        <v>2</v>
      </c>
      <c r="S36" s="130"/>
      <c r="T36" s="271">
        <v>2</v>
      </c>
      <c r="U36" s="130"/>
      <c r="V36" s="271">
        <v>4</v>
      </c>
      <c r="W36" s="131"/>
      <c r="X36" s="275">
        <v>2</v>
      </c>
      <c r="Y36" s="130"/>
      <c r="Z36" s="275">
        <v>0</v>
      </c>
      <c r="AA36" s="130"/>
      <c r="AB36" s="275">
        <v>2</v>
      </c>
      <c r="AC36" s="130"/>
      <c r="AD36" s="271">
        <v>2</v>
      </c>
      <c r="AE36" s="130"/>
      <c r="AF36" s="275">
        <v>3</v>
      </c>
      <c r="AG36" s="130"/>
      <c r="AH36" s="275">
        <v>1</v>
      </c>
      <c r="AI36" s="130"/>
      <c r="AJ36" s="265">
        <v>3</v>
      </c>
      <c r="AK36" s="130"/>
      <c r="AL36" s="275">
        <v>2</v>
      </c>
      <c r="AM36" s="130"/>
      <c r="AN36" s="271">
        <v>1</v>
      </c>
      <c r="AO36" s="130"/>
      <c r="AP36" s="275">
        <v>1</v>
      </c>
      <c r="AQ36" s="130"/>
      <c r="AR36" s="275">
        <v>2</v>
      </c>
      <c r="AS36" s="130"/>
      <c r="AT36" s="271">
        <v>1</v>
      </c>
      <c r="AU36" s="130"/>
      <c r="AV36" s="275">
        <v>4</v>
      </c>
      <c r="AW36" s="130"/>
      <c r="AX36" s="132">
        <f t="shared" si="0"/>
        <v>41</v>
      </c>
    </row>
    <row r="37" spans="9:50" s="141" customFormat="1" x14ac:dyDescent="0.25">
      <c r="I37" s="139" t="s">
        <v>203</v>
      </c>
      <c r="J37" s="130">
        <v>1</v>
      </c>
      <c r="K37" s="130"/>
      <c r="L37" s="130">
        <v>2</v>
      </c>
      <c r="M37" s="130"/>
      <c r="N37" s="275">
        <v>2</v>
      </c>
      <c r="O37" s="130"/>
      <c r="P37" s="271">
        <v>2</v>
      </c>
      <c r="Q37" s="139"/>
      <c r="R37" s="271">
        <v>1</v>
      </c>
      <c r="S37" s="130"/>
      <c r="T37" s="271">
        <v>2</v>
      </c>
      <c r="U37" s="130"/>
      <c r="V37" s="271">
        <v>3</v>
      </c>
      <c r="W37" s="131"/>
      <c r="X37" s="275">
        <v>1</v>
      </c>
      <c r="Y37" s="130"/>
      <c r="Z37" s="275">
        <v>1</v>
      </c>
      <c r="AA37" s="130"/>
      <c r="AB37" s="275">
        <v>2</v>
      </c>
      <c r="AC37" s="130"/>
      <c r="AD37" s="271">
        <v>1</v>
      </c>
      <c r="AE37" s="130"/>
      <c r="AF37" s="275">
        <v>4</v>
      </c>
      <c r="AG37" s="130"/>
      <c r="AH37" s="275">
        <v>2</v>
      </c>
      <c r="AI37" s="130"/>
      <c r="AJ37" s="275">
        <v>3</v>
      </c>
      <c r="AK37" s="130"/>
      <c r="AL37" s="275">
        <v>3</v>
      </c>
      <c r="AM37" s="130"/>
      <c r="AN37" s="271">
        <v>1</v>
      </c>
      <c r="AO37" s="130"/>
      <c r="AP37" s="275">
        <v>2</v>
      </c>
      <c r="AQ37" s="130"/>
      <c r="AR37" s="275">
        <v>2</v>
      </c>
      <c r="AS37" s="130"/>
      <c r="AT37" s="271">
        <v>0</v>
      </c>
      <c r="AU37" s="130"/>
      <c r="AV37" s="275">
        <v>4</v>
      </c>
      <c r="AW37" s="130"/>
      <c r="AX37" s="132">
        <f t="shared" si="0"/>
        <v>39</v>
      </c>
    </row>
    <row r="38" spans="9:50" s="141" customFormat="1" x14ac:dyDescent="0.25">
      <c r="I38" s="140" t="s">
        <v>204</v>
      </c>
      <c r="J38" s="130">
        <v>1</v>
      </c>
      <c r="K38" s="130"/>
      <c r="L38" s="130">
        <v>2</v>
      </c>
      <c r="M38" s="130"/>
      <c r="N38" s="275">
        <v>3</v>
      </c>
      <c r="O38" s="130"/>
      <c r="P38" s="271">
        <v>3</v>
      </c>
      <c r="Q38" s="139"/>
      <c r="R38" s="271">
        <v>2</v>
      </c>
      <c r="S38" s="130"/>
      <c r="T38" s="271">
        <v>2</v>
      </c>
      <c r="U38" s="130"/>
      <c r="V38" s="271">
        <v>4</v>
      </c>
      <c r="W38" s="131"/>
      <c r="X38" s="275">
        <v>2</v>
      </c>
      <c r="Y38" s="130"/>
      <c r="Z38" s="275">
        <v>0</v>
      </c>
      <c r="AA38" s="130"/>
      <c r="AB38" s="275">
        <v>2</v>
      </c>
      <c r="AC38" s="130"/>
      <c r="AD38" s="271">
        <v>2</v>
      </c>
      <c r="AE38" s="130"/>
      <c r="AF38" s="275">
        <v>3</v>
      </c>
      <c r="AG38" s="130"/>
      <c r="AH38" s="275">
        <v>1</v>
      </c>
      <c r="AI38" s="130"/>
      <c r="AJ38" s="265">
        <v>3</v>
      </c>
      <c r="AK38" s="130"/>
      <c r="AL38" s="275">
        <v>2</v>
      </c>
      <c r="AM38" s="130"/>
      <c r="AN38" s="271">
        <v>1</v>
      </c>
      <c r="AO38" s="130"/>
      <c r="AP38" s="275">
        <v>1</v>
      </c>
      <c r="AQ38" s="130"/>
      <c r="AR38" s="275">
        <v>2</v>
      </c>
      <c r="AS38" s="130"/>
      <c r="AT38" s="271">
        <v>1</v>
      </c>
      <c r="AU38" s="130"/>
      <c r="AV38" s="275">
        <v>4</v>
      </c>
      <c r="AW38" s="130"/>
      <c r="AX38" s="132">
        <f t="shared" si="0"/>
        <v>41</v>
      </c>
    </row>
    <row r="39" spans="9:50" ht="14.25" x14ac:dyDescent="0.25"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X39" s="132">
        <f t="shared" si="0"/>
        <v>0</v>
      </c>
    </row>
    <row r="40" spans="9:50" s="132" customFormat="1" ht="13.5" customHeight="1" x14ac:dyDescent="0.25">
      <c r="I40" s="143" t="s">
        <v>206</v>
      </c>
      <c r="J40" s="288">
        <v>142</v>
      </c>
      <c r="K40" s="290"/>
      <c r="L40" s="288">
        <v>220</v>
      </c>
      <c r="M40" s="287"/>
      <c r="N40" s="288">
        <v>467</v>
      </c>
      <c r="O40" s="290"/>
      <c r="P40" s="288">
        <v>383</v>
      </c>
      <c r="Q40" s="290"/>
      <c r="R40" s="288">
        <v>245</v>
      </c>
      <c r="S40" s="290"/>
      <c r="T40" s="288">
        <v>283</v>
      </c>
      <c r="U40" s="287"/>
      <c r="V40" s="288">
        <v>438</v>
      </c>
      <c r="W40" s="291"/>
      <c r="X40" s="288">
        <v>272</v>
      </c>
      <c r="Y40" s="287"/>
      <c r="Z40" s="289">
        <v>181</v>
      </c>
      <c r="AA40" s="287"/>
      <c r="AB40" s="288">
        <v>591</v>
      </c>
      <c r="AC40" s="290"/>
      <c r="AD40" s="289">
        <v>346</v>
      </c>
      <c r="AE40" s="290"/>
      <c r="AF40" s="288">
        <v>240</v>
      </c>
      <c r="AG40" s="287"/>
      <c r="AH40" s="289">
        <v>227</v>
      </c>
      <c r="AI40" s="290"/>
      <c r="AJ40" s="289">
        <v>398</v>
      </c>
      <c r="AK40" s="290"/>
      <c r="AL40" s="289">
        <v>336</v>
      </c>
      <c r="AM40" s="290"/>
      <c r="AN40" s="289">
        <v>185</v>
      </c>
      <c r="AO40" s="290"/>
      <c r="AP40" s="289">
        <v>441</v>
      </c>
      <c r="AQ40" s="290"/>
      <c r="AR40" s="289">
        <v>279</v>
      </c>
      <c r="AS40" s="287"/>
      <c r="AT40" s="289">
        <v>215</v>
      </c>
      <c r="AU40" s="290"/>
      <c r="AV40" s="289">
        <v>264</v>
      </c>
      <c r="AW40" s="290"/>
      <c r="AX40" s="132">
        <f t="shared" si="0"/>
        <v>6153</v>
      </c>
    </row>
    <row r="41" spans="9:50" ht="14.25" x14ac:dyDescent="0.25">
      <c r="I41" s="134" t="s">
        <v>193</v>
      </c>
      <c r="J41" s="283">
        <v>24</v>
      </c>
      <c r="K41" s="260"/>
      <c r="L41" s="283">
        <v>37</v>
      </c>
      <c r="M41" s="260"/>
      <c r="N41" s="286">
        <v>77</v>
      </c>
      <c r="O41" s="292"/>
      <c r="P41" s="286">
        <v>63</v>
      </c>
      <c r="Q41" s="292"/>
      <c r="R41" s="286">
        <v>50</v>
      </c>
      <c r="S41" s="292"/>
      <c r="T41" s="286">
        <v>71</v>
      </c>
      <c r="U41" s="292"/>
      <c r="V41" s="286">
        <v>73</v>
      </c>
      <c r="W41" s="292"/>
      <c r="X41" s="286">
        <v>45</v>
      </c>
      <c r="Y41" s="292"/>
      <c r="Z41" s="286">
        <v>30</v>
      </c>
      <c r="AA41" s="292"/>
      <c r="AB41" s="286">
        <v>98</v>
      </c>
      <c r="AC41" s="292"/>
      <c r="AD41" s="286">
        <v>57</v>
      </c>
      <c r="AE41" s="292"/>
      <c r="AF41" s="286">
        <v>40</v>
      </c>
      <c r="AG41" s="292"/>
      <c r="AH41" s="283">
        <v>37</v>
      </c>
      <c r="AI41" s="292"/>
      <c r="AJ41" s="283">
        <v>66</v>
      </c>
      <c r="AK41" s="292"/>
      <c r="AL41" s="283">
        <v>56</v>
      </c>
      <c r="AM41" s="292"/>
      <c r="AN41" s="283">
        <v>30</v>
      </c>
      <c r="AO41" s="292"/>
      <c r="AP41" s="283">
        <v>72</v>
      </c>
      <c r="AQ41" s="292"/>
      <c r="AR41" s="283">
        <v>46</v>
      </c>
      <c r="AS41" s="134"/>
      <c r="AT41" s="283">
        <v>36</v>
      </c>
      <c r="AU41" s="292"/>
      <c r="AV41" s="283">
        <v>44</v>
      </c>
      <c r="AW41" s="292"/>
      <c r="AX41" s="132">
        <f t="shared" si="0"/>
        <v>1052</v>
      </c>
    </row>
    <row r="42" spans="9:50" ht="14.25" x14ac:dyDescent="0.25">
      <c r="I42" s="134" t="s">
        <v>194</v>
      </c>
      <c r="J42" s="283">
        <v>24</v>
      </c>
      <c r="K42" s="260"/>
      <c r="L42" s="283">
        <v>37</v>
      </c>
      <c r="M42" s="260"/>
      <c r="N42" s="286">
        <v>78</v>
      </c>
      <c r="O42" s="293"/>
      <c r="P42" s="286">
        <v>64</v>
      </c>
      <c r="Q42" s="293"/>
      <c r="R42" s="286">
        <v>51</v>
      </c>
      <c r="S42" s="293"/>
      <c r="T42" s="286">
        <v>71</v>
      </c>
      <c r="U42" s="293"/>
      <c r="V42" s="286">
        <v>73</v>
      </c>
      <c r="W42" s="293"/>
      <c r="X42" s="286">
        <v>45</v>
      </c>
      <c r="Y42" s="293"/>
      <c r="Z42" s="286">
        <v>30</v>
      </c>
      <c r="AA42" s="293"/>
      <c r="AB42" s="286">
        <v>98</v>
      </c>
      <c r="AC42" s="293"/>
      <c r="AD42" s="286">
        <v>57</v>
      </c>
      <c r="AE42" s="293"/>
      <c r="AF42" s="286">
        <v>40</v>
      </c>
      <c r="AG42" s="293"/>
      <c r="AH42" s="283">
        <v>38</v>
      </c>
      <c r="AI42" s="293"/>
      <c r="AJ42" s="283">
        <v>66</v>
      </c>
      <c r="AK42" s="293"/>
      <c r="AL42" s="283">
        <v>56</v>
      </c>
      <c r="AM42" s="293"/>
      <c r="AN42" s="283">
        <v>31</v>
      </c>
      <c r="AO42" s="293"/>
      <c r="AP42" s="283">
        <v>74</v>
      </c>
      <c r="AQ42" s="293"/>
      <c r="AR42" s="283">
        <v>46</v>
      </c>
      <c r="AS42" s="134"/>
      <c r="AT42" s="283">
        <v>36</v>
      </c>
      <c r="AU42" s="293"/>
      <c r="AV42" s="283">
        <v>44</v>
      </c>
      <c r="AW42" s="293"/>
      <c r="AX42" s="132">
        <f t="shared" si="0"/>
        <v>1059</v>
      </c>
    </row>
    <row r="43" spans="9:50" ht="14.25" x14ac:dyDescent="0.25">
      <c r="I43" s="134" t="s">
        <v>195</v>
      </c>
      <c r="J43" s="283">
        <v>24</v>
      </c>
      <c r="K43" s="260"/>
      <c r="L43" s="283">
        <v>37</v>
      </c>
      <c r="M43" s="260"/>
      <c r="N43" s="286">
        <v>78</v>
      </c>
      <c r="O43" s="292"/>
      <c r="P43" s="286">
        <v>64</v>
      </c>
      <c r="Q43" s="292"/>
      <c r="R43" s="286">
        <v>51</v>
      </c>
      <c r="S43" s="292"/>
      <c r="T43" s="286">
        <v>71</v>
      </c>
      <c r="U43" s="292"/>
      <c r="V43" s="286">
        <v>73</v>
      </c>
      <c r="W43" s="292"/>
      <c r="X43" s="286">
        <v>45</v>
      </c>
      <c r="Y43" s="292"/>
      <c r="Z43" s="286">
        <v>30</v>
      </c>
      <c r="AA43" s="292"/>
      <c r="AB43" s="286">
        <v>99</v>
      </c>
      <c r="AC43" s="292"/>
      <c r="AD43" s="286">
        <v>58</v>
      </c>
      <c r="AE43" s="292"/>
      <c r="AF43" s="286">
        <v>40</v>
      </c>
      <c r="AG43" s="292"/>
      <c r="AH43" s="283">
        <v>37</v>
      </c>
      <c r="AI43" s="292"/>
      <c r="AJ43" s="283">
        <v>66</v>
      </c>
      <c r="AK43" s="292"/>
      <c r="AL43" s="283">
        <v>56</v>
      </c>
      <c r="AM43" s="292"/>
      <c r="AN43" s="283">
        <v>31</v>
      </c>
      <c r="AO43" s="292"/>
      <c r="AP43" s="283">
        <v>74</v>
      </c>
      <c r="AQ43" s="292"/>
      <c r="AR43" s="283">
        <v>46</v>
      </c>
      <c r="AS43" s="134"/>
      <c r="AT43" s="283">
        <v>36</v>
      </c>
      <c r="AU43" s="292"/>
      <c r="AV43" s="283">
        <v>44</v>
      </c>
      <c r="AW43" s="292"/>
      <c r="AX43" s="132">
        <f t="shared" si="0"/>
        <v>1060</v>
      </c>
    </row>
    <row r="44" spans="9:50" ht="14.25" x14ac:dyDescent="0.25">
      <c r="I44" s="134" t="s">
        <v>196</v>
      </c>
      <c r="J44" s="283">
        <v>24</v>
      </c>
      <c r="K44" s="260"/>
      <c r="L44" s="283">
        <v>37</v>
      </c>
      <c r="M44" s="260"/>
      <c r="N44" s="286">
        <v>78</v>
      </c>
      <c r="O44" s="293"/>
      <c r="P44" s="286">
        <v>64</v>
      </c>
      <c r="Q44" s="293"/>
      <c r="R44" s="286">
        <v>51</v>
      </c>
      <c r="S44" s="293"/>
      <c r="T44" s="286">
        <v>71</v>
      </c>
      <c r="U44" s="293"/>
      <c r="V44" s="286">
        <v>73</v>
      </c>
      <c r="W44" s="293"/>
      <c r="X44" s="286">
        <v>45</v>
      </c>
      <c r="Y44" s="293"/>
      <c r="Z44" s="286">
        <v>30</v>
      </c>
      <c r="AA44" s="293"/>
      <c r="AB44" s="286">
        <v>99</v>
      </c>
      <c r="AC44" s="293"/>
      <c r="AD44" s="286">
        <v>58</v>
      </c>
      <c r="AE44" s="293"/>
      <c r="AF44" s="286">
        <v>40</v>
      </c>
      <c r="AG44" s="293"/>
      <c r="AH44" s="283">
        <v>38</v>
      </c>
      <c r="AI44" s="293"/>
      <c r="AJ44" s="283">
        <v>66</v>
      </c>
      <c r="AK44" s="293"/>
      <c r="AL44" s="283">
        <v>56</v>
      </c>
      <c r="AM44" s="293"/>
      <c r="AN44" s="283">
        <v>31</v>
      </c>
      <c r="AO44" s="293"/>
      <c r="AP44" s="283">
        <v>74</v>
      </c>
      <c r="AQ44" s="293"/>
      <c r="AR44" s="283">
        <v>47</v>
      </c>
      <c r="AS44" s="134"/>
      <c r="AT44" s="283">
        <v>36</v>
      </c>
      <c r="AU44" s="293"/>
      <c r="AV44" s="283">
        <v>44</v>
      </c>
      <c r="AW44" s="293"/>
      <c r="AX44" s="132">
        <f t="shared" si="0"/>
        <v>1062</v>
      </c>
    </row>
    <row r="45" spans="9:50" ht="14.25" x14ac:dyDescent="0.25">
      <c r="I45" s="134" t="s">
        <v>197</v>
      </c>
      <c r="J45" s="283">
        <v>23</v>
      </c>
      <c r="K45" s="260"/>
      <c r="L45" s="283">
        <v>36</v>
      </c>
      <c r="M45" s="260"/>
      <c r="N45" s="286">
        <v>78</v>
      </c>
      <c r="O45" s="292"/>
      <c r="P45" s="286">
        <v>64</v>
      </c>
      <c r="Q45" s="292"/>
      <c r="R45" s="286">
        <v>51</v>
      </c>
      <c r="S45" s="292"/>
      <c r="T45" s="286">
        <v>71</v>
      </c>
      <c r="U45" s="292"/>
      <c r="V45" s="286">
        <v>73</v>
      </c>
      <c r="W45" s="292"/>
      <c r="X45" s="286">
        <v>45</v>
      </c>
      <c r="Y45" s="292"/>
      <c r="Z45" s="286">
        <v>30</v>
      </c>
      <c r="AA45" s="292"/>
      <c r="AB45" s="286">
        <v>99</v>
      </c>
      <c r="AC45" s="292"/>
      <c r="AD45" s="286">
        <v>58</v>
      </c>
      <c r="AE45" s="292"/>
      <c r="AF45" s="286">
        <v>40</v>
      </c>
      <c r="AG45" s="292"/>
      <c r="AH45" s="283">
        <v>37</v>
      </c>
      <c r="AI45" s="292"/>
      <c r="AJ45" s="283">
        <v>66</v>
      </c>
      <c r="AK45" s="292"/>
      <c r="AL45" s="283">
        <v>56</v>
      </c>
      <c r="AM45" s="292"/>
      <c r="AN45" s="283">
        <v>31</v>
      </c>
      <c r="AO45" s="292"/>
      <c r="AP45" s="283">
        <v>74</v>
      </c>
      <c r="AQ45" s="292"/>
      <c r="AR45" s="283">
        <v>47</v>
      </c>
      <c r="AS45" s="134"/>
      <c r="AT45" s="283">
        <v>36</v>
      </c>
      <c r="AU45" s="292"/>
      <c r="AV45" s="283">
        <v>44</v>
      </c>
      <c r="AW45" s="292"/>
      <c r="AX45" s="132">
        <f t="shared" si="0"/>
        <v>1059</v>
      </c>
    </row>
    <row r="46" spans="9:50" ht="14.25" x14ac:dyDescent="0.25">
      <c r="I46" s="135" t="s">
        <v>198</v>
      </c>
      <c r="J46" s="286">
        <v>23</v>
      </c>
      <c r="K46" s="260"/>
      <c r="L46" s="283">
        <v>36</v>
      </c>
      <c r="M46" s="260"/>
      <c r="N46" s="286">
        <v>78</v>
      </c>
      <c r="O46" s="293"/>
      <c r="P46" s="286">
        <v>64</v>
      </c>
      <c r="Q46" s="293"/>
      <c r="R46" s="286">
        <v>51</v>
      </c>
      <c r="S46" s="293"/>
      <c r="T46" s="286">
        <v>71</v>
      </c>
      <c r="U46" s="293"/>
      <c r="V46" s="286">
        <v>74</v>
      </c>
      <c r="W46" s="293"/>
      <c r="X46" s="286">
        <v>47</v>
      </c>
      <c r="Y46" s="293"/>
      <c r="Z46" s="286">
        <v>31</v>
      </c>
      <c r="AA46" s="293"/>
      <c r="AB46" s="286">
        <v>99</v>
      </c>
      <c r="AC46" s="293"/>
      <c r="AD46" s="286">
        <v>58</v>
      </c>
      <c r="AE46" s="293"/>
      <c r="AF46" s="286">
        <v>40</v>
      </c>
      <c r="AG46" s="293"/>
      <c r="AH46" s="283">
        <v>38</v>
      </c>
      <c r="AI46" s="293"/>
      <c r="AJ46" s="283">
        <v>68</v>
      </c>
      <c r="AK46" s="293"/>
      <c r="AL46" s="283">
        <v>56</v>
      </c>
      <c r="AM46" s="293"/>
      <c r="AN46" s="283">
        <v>31</v>
      </c>
      <c r="AO46" s="293"/>
      <c r="AP46" s="283">
        <v>74</v>
      </c>
      <c r="AQ46" s="293"/>
      <c r="AR46" s="283">
        <v>47</v>
      </c>
      <c r="AS46" s="134"/>
      <c r="AT46" s="283">
        <v>36</v>
      </c>
      <c r="AU46" s="293"/>
      <c r="AV46" s="283">
        <v>44</v>
      </c>
      <c r="AW46" s="293"/>
      <c r="AX46" s="132">
        <f t="shared" si="0"/>
        <v>1066</v>
      </c>
    </row>
    <row r="47" spans="9:50" ht="14.25" x14ac:dyDescent="0.25">
      <c r="I47" s="134" t="s">
        <v>199</v>
      </c>
      <c r="J47" s="283">
        <v>24</v>
      </c>
      <c r="K47" s="260"/>
      <c r="L47" s="283">
        <v>37</v>
      </c>
      <c r="M47" s="260"/>
      <c r="N47" s="286">
        <v>77</v>
      </c>
      <c r="O47" s="260"/>
      <c r="P47" s="286">
        <v>63</v>
      </c>
      <c r="Q47" s="292"/>
      <c r="R47" s="286">
        <v>50</v>
      </c>
      <c r="S47" s="260"/>
      <c r="T47" s="286">
        <v>71</v>
      </c>
      <c r="U47" s="134"/>
      <c r="V47" s="286">
        <v>73</v>
      </c>
      <c r="W47" s="273"/>
      <c r="X47" s="286">
        <v>45</v>
      </c>
      <c r="Y47" s="260"/>
      <c r="Z47" s="286">
        <v>30</v>
      </c>
      <c r="AA47" s="260"/>
      <c r="AB47" s="286">
        <v>98</v>
      </c>
      <c r="AC47" s="260"/>
      <c r="AD47" s="286">
        <v>57</v>
      </c>
      <c r="AE47" s="134"/>
      <c r="AF47" s="286">
        <v>40</v>
      </c>
      <c r="AG47" s="260"/>
      <c r="AH47" s="283">
        <v>37</v>
      </c>
      <c r="AI47" s="260"/>
      <c r="AJ47" s="283">
        <v>66</v>
      </c>
      <c r="AK47" s="260"/>
      <c r="AL47" s="283">
        <v>56</v>
      </c>
      <c r="AM47" s="260"/>
      <c r="AN47" s="283">
        <v>30</v>
      </c>
      <c r="AO47" s="260"/>
      <c r="AP47" s="283">
        <v>72</v>
      </c>
      <c r="AQ47" s="260"/>
      <c r="AR47" s="283">
        <v>46</v>
      </c>
      <c r="AS47" s="260"/>
      <c r="AT47" s="283">
        <v>36</v>
      </c>
      <c r="AU47" s="260"/>
      <c r="AV47" s="283">
        <v>44</v>
      </c>
      <c r="AW47" s="260"/>
      <c r="AX47" s="132">
        <f t="shared" si="0"/>
        <v>1052</v>
      </c>
    </row>
    <row r="48" spans="9:50" ht="15" x14ac:dyDescent="0.25">
      <c r="I48" s="134" t="s">
        <v>200</v>
      </c>
      <c r="J48" s="283">
        <v>24</v>
      </c>
      <c r="K48" s="260"/>
      <c r="L48" s="283">
        <v>37</v>
      </c>
      <c r="M48" s="260"/>
      <c r="N48" s="286">
        <v>78</v>
      </c>
      <c r="O48" s="274"/>
      <c r="P48" s="286">
        <v>64</v>
      </c>
      <c r="Q48" s="134"/>
      <c r="R48" s="286">
        <v>51</v>
      </c>
      <c r="S48" s="260"/>
      <c r="T48" s="286">
        <v>71</v>
      </c>
      <c r="U48" s="134"/>
      <c r="V48" s="286">
        <v>73</v>
      </c>
      <c r="W48" s="273"/>
      <c r="X48" s="286">
        <v>45</v>
      </c>
      <c r="Y48" s="262"/>
      <c r="Z48" s="286">
        <v>30</v>
      </c>
      <c r="AA48" s="284"/>
      <c r="AB48" s="286">
        <v>98</v>
      </c>
      <c r="AC48" s="260"/>
      <c r="AD48" s="286">
        <v>57</v>
      </c>
      <c r="AE48" s="134"/>
      <c r="AF48" s="286">
        <v>40</v>
      </c>
      <c r="AG48" s="260"/>
      <c r="AH48" s="283">
        <v>38</v>
      </c>
      <c r="AI48" s="260"/>
      <c r="AJ48" s="283">
        <v>66</v>
      </c>
      <c r="AK48" s="260"/>
      <c r="AL48" s="283">
        <v>56</v>
      </c>
      <c r="AM48" s="260"/>
      <c r="AN48" s="283">
        <v>31</v>
      </c>
      <c r="AO48" s="260"/>
      <c r="AP48" s="283">
        <v>74</v>
      </c>
      <c r="AQ48" s="285"/>
      <c r="AR48" s="283">
        <v>46</v>
      </c>
      <c r="AS48" s="260"/>
      <c r="AT48" s="283">
        <v>36</v>
      </c>
      <c r="AU48" s="260"/>
      <c r="AV48" s="283">
        <v>44</v>
      </c>
      <c r="AW48" s="260"/>
      <c r="AX48" s="132">
        <f t="shared" si="0"/>
        <v>1059</v>
      </c>
    </row>
    <row r="49" spans="9:50" x14ac:dyDescent="0.25">
      <c r="I49" s="134" t="s">
        <v>201</v>
      </c>
      <c r="J49" s="283">
        <v>24</v>
      </c>
      <c r="K49" s="260"/>
      <c r="L49" s="283">
        <v>37</v>
      </c>
      <c r="M49" s="260"/>
      <c r="N49" s="286">
        <v>78</v>
      </c>
      <c r="O49" s="260"/>
      <c r="P49" s="286">
        <v>64</v>
      </c>
      <c r="Q49" s="134"/>
      <c r="R49" s="286">
        <v>51</v>
      </c>
      <c r="S49" s="260"/>
      <c r="T49" s="286">
        <v>71</v>
      </c>
      <c r="U49" s="134"/>
      <c r="V49" s="286">
        <v>73</v>
      </c>
      <c r="W49" s="273"/>
      <c r="X49" s="286">
        <v>45</v>
      </c>
      <c r="Y49" s="260"/>
      <c r="Z49" s="286">
        <v>30</v>
      </c>
      <c r="AA49" s="260"/>
      <c r="AB49" s="286">
        <v>99</v>
      </c>
      <c r="AC49" s="260"/>
      <c r="AD49" s="286">
        <v>58</v>
      </c>
      <c r="AE49" s="134"/>
      <c r="AF49" s="286">
        <v>40</v>
      </c>
      <c r="AG49" s="260"/>
      <c r="AH49" s="283">
        <v>37</v>
      </c>
      <c r="AI49" s="260"/>
      <c r="AJ49" s="283">
        <v>66</v>
      </c>
      <c r="AK49" s="260"/>
      <c r="AL49" s="283">
        <v>56</v>
      </c>
      <c r="AM49" s="260"/>
      <c r="AN49" s="283">
        <v>31</v>
      </c>
      <c r="AO49" s="260"/>
      <c r="AP49" s="283">
        <v>74</v>
      </c>
      <c r="AQ49" s="260"/>
      <c r="AR49" s="283">
        <v>46</v>
      </c>
      <c r="AS49" s="260"/>
      <c r="AT49" s="283">
        <v>36</v>
      </c>
      <c r="AU49" s="260"/>
      <c r="AV49" s="283">
        <v>44</v>
      </c>
      <c r="AW49" s="260"/>
      <c r="AX49" s="132">
        <f t="shared" si="0"/>
        <v>1060</v>
      </c>
    </row>
    <row r="50" spans="9:50" x14ac:dyDescent="0.25">
      <c r="I50" s="134" t="s">
        <v>202</v>
      </c>
      <c r="J50" s="283">
        <v>24</v>
      </c>
      <c r="K50" s="260"/>
      <c r="L50" s="283">
        <v>37</v>
      </c>
      <c r="M50" s="260"/>
      <c r="N50" s="286">
        <v>78</v>
      </c>
      <c r="O50" s="260"/>
      <c r="P50" s="286">
        <v>64</v>
      </c>
      <c r="Q50" s="134"/>
      <c r="R50" s="286">
        <v>51</v>
      </c>
      <c r="S50" s="260"/>
      <c r="T50" s="286">
        <v>71</v>
      </c>
      <c r="U50" s="134"/>
      <c r="V50" s="286">
        <v>73</v>
      </c>
      <c r="W50" s="273"/>
      <c r="X50" s="286">
        <v>45</v>
      </c>
      <c r="Y50" s="260"/>
      <c r="Z50" s="286">
        <v>30</v>
      </c>
      <c r="AA50" s="260"/>
      <c r="AB50" s="286">
        <v>99</v>
      </c>
      <c r="AC50" s="260"/>
      <c r="AD50" s="286">
        <v>58</v>
      </c>
      <c r="AE50" s="134"/>
      <c r="AF50" s="286">
        <v>40</v>
      </c>
      <c r="AG50" s="260"/>
      <c r="AH50" s="283">
        <v>38</v>
      </c>
      <c r="AI50" s="260"/>
      <c r="AJ50" s="283">
        <v>66</v>
      </c>
      <c r="AK50" s="260"/>
      <c r="AL50" s="283">
        <v>56</v>
      </c>
      <c r="AM50" s="260"/>
      <c r="AN50" s="283">
        <v>31</v>
      </c>
      <c r="AO50" s="260"/>
      <c r="AP50" s="283">
        <v>74</v>
      </c>
      <c r="AQ50" s="260"/>
      <c r="AR50" s="283">
        <v>47</v>
      </c>
      <c r="AS50" s="260"/>
      <c r="AT50" s="283">
        <v>36</v>
      </c>
      <c r="AU50" s="260"/>
      <c r="AV50" s="283">
        <v>44</v>
      </c>
      <c r="AW50" s="260"/>
      <c r="AX50" s="132">
        <f t="shared" si="0"/>
        <v>1062</v>
      </c>
    </row>
    <row r="51" spans="9:50" x14ac:dyDescent="0.25">
      <c r="I51" s="134" t="s">
        <v>203</v>
      </c>
      <c r="J51" s="283">
        <v>23</v>
      </c>
      <c r="K51" s="260"/>
      <c r="L51" s="283">
        <v>36</v>
      </c>
      <c r="M51" s="260"/>
      <c r="N51" s="286">
        <v>78</v>
      </c>
      <c r="O51" s="260"/>
      <c r="P51" s="286">
        <v>64</v>
      </c>
      <c r="Q51" s="134"/>
      <c r="R51" s="286">
        <v>51</v>
      </c>
      <c r="S51" s="260"/>
      <c r="T51" s="286">
        <v>71</v>
      </c>
      <c r="U51" s="134"/>
      <c r="V51" s="286">
        <v>73</v>
      </c>
      <c r="W51" s="273"/>
      <c r="X51" s="286">
        <v>45</v>
      </c>
      <c r="Y51" s="260"/>
      <c r="Z51" s="286">
        <v>30</v>
      </c>
      <c r="AA51" s="260"/>
      <c r="AB51" s="286">
        <v>99</v>
      </c>
      <c r="AC51" s="260"/>
      <c r="AD51" s="286">
        <v>58</v>
      </c>
      <c r="AE51" s="134"/>
      <c r="AF51" s="286">
        <v>40</v>
      </c>
      <c r="AG51" s="260"/>
      <c r="AH51" s="283">
        <v>37</v>
      </c>
      <c r="AI51" s="260"/>
      <c r="AJ51" s="283">
        <v>66</v>
      </c>
      <c r="AK51" s="260"/>
      <c r="AL51" s="283">
        <v>56</v>
      </c>
      <c r="AM51" s="260"/>
      <c r="AN51" s="283">
        <v>31</v>
      </c>
      <c r="AO51" s="260"/>
      <c r="AP51" s="283">
        <v>74</v>
      </c>
      <c r="AQ51" s="260"/>
      <c r="AR51" s="283">
        <v>47</v>
      </c>
      <c r="AS51" s="260"/>
      <c r="AT51" s="283">
        <v>36</v>
      </c>
      <c r="AU51" s="260"/>
      <c r="AV51" s="283">
        <v>44</v>
      </c>
      <c r="AW51" s="260"/>
      <c r="AX51" s="132">
        <f t="shared" si="0"/>
        <v>1059</v>
      </c>
    </row>
    <row r="52" spans="9:50" x14ac:dyDescent="0.25">
      <c r="I52" s="135" t="s">
        <v>204</v>
      </c>
      <c r="J52" s="286">
        <v>23</v>
      </c>
      <c r="K52" s="260"/>
      <c r="L52" s="283">
        <v>36</v>
      </c>
      <c r="M52" s="260"/>
      <c r="N52" s="286">
        <v>78</v>
      </c>
      <c r="O52" s="260"/>
      <c r="P52" s="286">
        <v>64</v>
      </c>
      <c r="Q52" s="134"/>
      <c r="R52" s="286">
        <v>51</v>
      </c>
      <c r="S52" s="260"/>
      <c r="T52" s="286">
        <v>71</v>
      </c>
      <c r="U52" s="134"/>
      <c r="V52" s="286">
        <v>74</v>
      </c>
      <c r="W52" s="273"/>
      <c r="X52" s="286">
        <v>47</v>
      </c>
      <c r="Y52" s="260"/>
      <c r="Z52" s="286">
        <v>31</v>
      </c>
      <c r="AA52" s="260"/>
      <c r="AB52" s="286">
        <v>99</v>
      </c>
      <c r="AC52" s="260"/>
      <c r="AD52" s="286">
        <v>58</v>
      </c>
      <c r="AE52" s="134"/>
      <c r="AF52" s="286">
        <v>40</v>
      </c>
      <c r="AG52" s="260"/>
      <c r="AH52" s="283">
        <v>38</v>
      </c>
      <c r="AI52" s="260"/>
      <c r="AJ52" s="283">
        <v>68</v>
      </c>
      <c r="AK52" s="260"/>
      <c r="AL52" s="283">
        <v>56</v>
      </c>
      <c r="AM52" s="260"/>
      <c r="AN52" s="283">
        <v>31</v>
      </c>
      <c r="AO52" s="260"/>
      <c r="AP52" s="283">
        <v>74</v>
      </c>
      <c r="AQ52" s="260"/>
      <c r="AR52" s="283">
        <v>47</v>
      </c>
      <c r="AS52" s="260"/>
      <c r="AT52" s="283">
        <v>36</v>
      </c>
      <c r="AU52" s="260"/>
      <c r="AV52" s="283">
        <v>44</v>
      </c>
      <c r="AW52" s="260"/>
      <c r="AX52" s="132">
        <f t="shared" si="0"/>
        <v>1066</v>
      </c>
    </row>
    <row r="53" spans="9:50" ht="14.25" x14ac:dyDescent="0.25"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2"/>
    </row>
    <row r="55" spans="9:50" ht="14.25" x14ac:dyDescent="0.25"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</row>
  </sheetData>
  <mergeCells count="134">
    <mergeCell ref="AJ8:AK8"/>
    <mergeCell ref="AD7:AE7"/>
    <mergeCell ref="AF7:AG7"/>
    <mergeCell ref="J7:K7"/>
    <mergeCell ref="AJ7:AK7"/>
    <mergeCell ref="R7:S7"/>
    <mergeCell ref="N7:O7"/>
    <mergeCell ref="P7:Q7"/>
    <mergeCell ref="L7:M7"/>
    <mergeCell ref="V7:W7"/>
    <mergeCell ref="AB7:AC7"/>
    <mergeCell ref="AB8:AC8"/>
    <mergeCell ref="AD8:AE8"/>
    <mergeCell ref="AF8:AG8"/>
    <mergeCell ref="AH8:AI8"/>
    <mergeCell ref="AH7:AI7"/>
    <mergeCell ref="J8:K8"/>
    <mergeCell ref="T8:U8"/>
    <mergeCell ref="V8:W8"/>
    <mergeCell ref="R8:S8"/>
    <mergeCell ref="X7:Y7"/>
    <mergeCell ref="Z7:AA7"/>
    <mergeCell ref="T7:U7"/>
    <mergeCell ref="AV7:AW7"/>
    <mergeCell ref="AT9:AU9"/>
    <mergeCell ref="AV9:AW9"/>
    <mergeCell ref="AR7:AS7"/>
    <mergeCell ref="AT7:AU7"/>
    <mergeCell ref="AR8:AS8"/>
    <mergeCell ref="AT8:AU8"/>
    <mergeCell ref="AN8:AO8"/>
    <mergeCell ref="AL7:AM7"/>
    <mergeCell ref="AN7:AO7"/>
    <mergeCell ref="AP7:AQ7"/>
    <mergeCell ref="AL9:AM9"/>
    <mergeCell ref="AN9:AO9"/>
    <mergeCell ref="AP9:AQ9"/>
    <mergeCell ref="AP8:AQ8"/>
    <mergeCell ref="AL8:AM8"/>
    <mergeCell ref="AR10:AS10"/>
    <mergeCell ref="AJ9:AK9"/>
    <mergeCell ref="AJ10:AK10"/>
    <mergeCell ref="AH10:AI10"/>
    <mergeCell ref="AB9:AC9"/>
    <mergeCell ref="AH9:AI9"/>
    <mergeCell ref="AD9:AE9"/>
    <mergeCell ref="AB10:AC10"/>
    <mergeCell ref="AD10:AE10"/>
    <mergeCell ref="AF10:AG10"/>
    <mergeCell ref="R9:S9"/>
    <mergeCell ref="J10:K10"/>
    <mergeCell ref="J9:K9"/>
    <mergeCell ref="R10:S10"/>
    <mergeCell ref="AF9:AG9"/>
    <mergeCell ref="L9:M9"/>
    <mergeCell ref="N9:O9"/>
    <mergeCell ref="P9:Q9"/>
    <mergeCell ref="P8:Q8"/>
    <mergeCell ref="L8:M8"/>
    <mergeCell ref="N8:O8"/>
    <mergeCell ref="L10:M10"/>
    <mergeCell ref="N10:O10"/>
    <mergeCell ref="P10:Q10"/>
    <mergeCell ref="Z10:AA10"/>
    <mergeCell ref="T10:U10"/>
    <mergeCell ref="X8:Y8"/>
    <mergeCell ref="Z8:AA8"/>
    <mergeCell ref="Z9:AA9"/>
    <mergeCell ref="V10:W10"/>
    <mergeCell ref="V9:W9"/>
    <mergeCell ref="X9:Y9"/>
    <mergeCell ref="X10:Y10"/>
    <mergeCell ref="J2:U2"/>
    <mergeCell ref="V2:AG2"/>
    <mergeCell ref="AH2:AQ2"/>
    <mergeCell ref="AR2:AW2"/>
    <mergeCell ref="J3:O3"/>
    <mergeCell ref="P3:U3"/>
    <mergeCell ref="V3:AA3"/>
    <mergeCell ref="AB3:AG3"/>
    <mergeCell ref="AH3:AK3"/>
    <mergeCell ref="AL3:AQ3"/>
    <mergeCell ref="AR3:AS3"/>
    <mergeCell ref="AT3:AW3"/>
    <mergeCell ref="AT4:AU4"/>
    <mergeCell ref="AV4:AW4"/>
    <mergeCell ref="Z4:AA4"/>
    <mergeCell ref="AB4:AC4"/>
    <mergeCell ref="AD4:AE4"/>
    <mergeCell ref="AF4:AG4"/>
    <mergeCell ref="AH4:AI4"/>
    <mergeCell ref="AJ4:AK4"/>
    <mergeCell ref="J4:K4"/>
    <mergeCell ref="L4:M4"/>
    <mergeCell ref="N4:O4"/>
    <mergeCell ref="P4:Q4"/>
    <mergeCell ref="R4:S4"/>
    <mergeCell ref="T4:U4"/>
    <mergeCell ref="V4:W4"/>
    <mergeCell ref="X4:Y4"/>
    <mergeCell ref="AL4:AM4"/>
    <mergeCell ref="J5:K5"/>
    <mergeCell ref="L5:M5"/>
    <mergeCell ref="N5:O5"/>
    <mergeCell ref="P5:Q5"/>
    <mergeCell ref="R5:S5"/>
    <mergeCell ref="T5:U5"/>
    <mergeCell ref="AN4:AO4"/>
    <mergeCell ref="AP4:AQ4"/>
    <mergeCell ref="AR4:AS4"/>
    <mergeCell ref="AX8:AY8"/>
    <mergeCell ref="AX7:AY7"/>
    <mergeCell ref="AV8:AW8"/>
    <mergeCell ref="T9:U9"/>
    <mergeCell ref="AV10:AW10"/>
    <mergeCell ref="AT10:AU10"/>
    <mergeCell ref="AT5:AU5"/>
    <mergeCell ref="AV5:AW5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AD5:AE5"/>
    <mergeCell ref="AF5:AG5"/>
    <mergeCell ref="AR9:AS9"/>
    <mergeCell ref="AL10:AM10"/>
    <mergeCell ref="AN10:AO10"/>
    <mergeCell ref="AP10:AQ1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5131-1F3A-4E19-A2F4-9B15E35E2B1D}">
  <dimension ref="A1:U21"/>
  <sheetViews>
    <sheetView topLeftCell="B1" workbookViewId="0">
      <selection activeCell="D20" sqref="D20"/>
    </sheetView>
  </sheetViews>
  <sheetFormatPr defaultRowHeight="15" x14ac:dyDescent="0.25"/>
  <cols>
    <col min="1" max="1" width="25.7109375" bestFit="1" customWidth="1"/>
    <col min="2" max="2" width="11.85546875" bestFit="1" customWidth="1"/>
    <col min="3" max="3" width="12" bestFit="1" customWidth="1"/>
  </cols>
  <sheetData>
    <row r="1" spans="1:21" x14ac:dyDescent="0.25">
      <c r="A1" s="76" t="s">
        <v>243</v>
      </c>
      <c r="B1" s="76" t="s">
        <v>241</v>
      </c>
      <c r="C1" s="76" t="s">
        <v>242</v>
      </c>
    </row>
    <row r="2" spans="1:21" x14ac:dyDescent="0.25">
      <c r="A2" s="76" t="s">
        <v>25</v>
      </c>
      <c r="B2" s="182">
        <f>([2]E_NW!J20/([2]E_NW!$G$20-[2]E_NW!$G$16))*([2]E_NW!$G$21)</f>
        <v>1.9722222222222221</v>
      </c>
      <c r="C2" s="182">
        <v>1</v>
      </c>
      <c r="E2" s="179"/>
      <c r="G2" s="179"/>
      <c r="I2" s="179"/>
      <c r="K2" s="179"/>
      <c r="M2" s="179"/>
      <c r="O2" s="179"/>
      <c r="Q2" s="179"/>
      <c r="S2" s="179"/>
    </row>
    <row r="3" spans="1:21" x14ac:dyDescent="0.25">
      <c r="A3" s="76" t="s">
        <v>26</v>
      </c>
      <c r="B3" s="182">
        <f>([2]E_NW!L20/([2]E_NW!$G$20-[2]E_NW!$G$16))*([2]E_NW!$G$21)</f>
        <v>1.3322946216654734</v>
      </c>
      <c r="C3" s="183">
        <v>0.69134075642559678</v>
      </c>
    </row>
    <row r="4" spans="1:21" x14ac:dyDescent="0.25">
      <c r="A4" s="76" t="s">
        <v>27</v>
      </c>
      <c r="B4" s="182">
        <v>1</v>
      </c>
      <c r="C4" s="183">
        <v>1</v>
      </c>
    </row>
    <row r="5" spans="1:21" x14ac:dyDescent="0.25">
      <c r="A5" s="76" t="s">
        <v>28</v>
      </c>
      <c r="B5" s="182">
        <v>1</v>
      </c>
      <c r="C5" s="182">
        <v>0.99999234682325944</v>
      </c>
    </row>
    <row r="6" spans="1:21" x14ac:dyDescent="0.25">
      <c r="A6" s="76" t="s">
        <v>29</v>
      </c>
      <c r="B6" s="182">
        <v>0.59631922944616444</v>
      </c>
      <c r="C6" s="184">
        <v>0.54145583965164246</v>
      </c>
    </row>
    <row r="7" spans="1:21" x14ac:dyDescent="0.25">
      <c r="A7" s="76" t="s">
        <v>30</v>
      </c>
      <c r="B7" s="182">
        <v>0.72222222222222232</v>
      </c>
      <c r="C7" s="184">
        <v>0.90599397567358553</v>
      </c>
    </row>
    <row r="8" spans="1:21" x14ac:dyDescent="0.25">
      <c r="A8" s="76" t="s">
        <v>31</v>
      </c>
      <c r="B8" s="182">
        <v>0.8179989944695828</v>
      </c>
      <c r="C8" s="184">
        <v>0.73534809985241989</v>
      </c>
    </row>
    <row r="9" spans="1:21" x14ac:dyDescent="0.25">
      <c r="A9" s="76" t="s">
        <v>32</v>
      </c>
      <c r="B9" s="182">
        <v>1</v>
      </c>
      <c r="C9" s="184">
        <v>0.99999066458348385</v>
      </c>
    </row>
    <row r="10" spans="1:21" x14ac:dyDescent="0.25">
      <c r="A10" s="76" t="s">
        <v>33</v>
      </c>
      <c r="B10" s="182">
        <f>([2]E_NW!Z20/([2]E_NW!$G$20-[2]E_NW!$G$16))*([2]E_NW!$G$21)</f>
        <v>1.717653110626967</v>
      </c>
      <c r="C10" s="184">
        <v>0.69312395080019773</v>
      </c>
    </row>
    <row r="11" spans="1:21" x14ac:dyDescent="0.25">
      <c r="A11" s="76" t="s">
        <v>34</v>
      </c>
      <c r="B11" s="182">
        <f>([2]E_NW!AB20/([2]E_NW!$G$20-[2]E_NW!$G$16))*([2]E_NW!$G$21)</f>
        <v>1.9722222222222221</v>
      </c>
      <c r="C11" s="184">
        <v>0.99999192718946228</v>
      </c>
      <c r="E11" s="179"/>
      <c r="G11" s="179"/>
      <c r="I11" s="179"/>
      <c r="K11" s="179"/>
      <c r="M11" s="179"/>
      <c r="O11" s="179"/>
      <c r="Q11" s="179"/>
      <c r="S11" s="179"/>
      <c r="U11" s="179"/>
    </row>
    <row r="12" spans="1:21" x14ac:dyDescent="0.25">
      <c r="A12" s="76" t="s">
        <v>35</v>
      </c>
      <c r="B12" s="182">
        <f>([2]E_NW!AD20/([2]E_NW!$G$20-[2]E_NW!$G$16))*([2]E_NW!$G$21)</f>
        <v>1.9722222222222221</v>
      </c>
      <c r="C12" s="184">
        <v>0.99999193080047299</v>
      </c>
    </row>
    <row r="13" spans="1:21" x14ac:dyDescent="0.25">
      <c r="A13" s="76" t="s">
        <v>36</v>
      </c>
      <c r="B13" s="182">
        <v>0.97076023391812871</v>
      </c>
      <c r="C13" s="184">
        <v>0.96918060324206157</v>
      </c>
    </row>
    <row r="14" spans="1:21" x14ac:dyDescent="0.25">
      <c r="A14" s="76" t="s">
        <v>37</v>
      </c>
      <c r="B14" s="182">
        <v>1</v>
      </c>
      <c r="C14" s="184">
        <v>0.99998455951593024</v>
      </c>
    </row>
    <row r="15" spans="1:21" x14ac:dyDescent="0.25">
      <c r="A15" s="76" t="s">
        <v>38</v>
      </c>
      <c r="B15" s="182">
        <v>0.87833081950729031</v>
      </c>
      <c r="C15" s="184">
        <v>0.88015812975737995</v>
      </c>
    </row>
    <row r="16" spans="1:21" x14ac:dyDescent="0.25">
      <c r="A16" s="76" t="s">
        <v>39</v>
      </c>
      <c r="B16" s="182">
        <v>1</v>
      </c>
      <c r="C16" s="184">
        <v>0.99999452122042165</v>
      </c>
    </row>
    <row r="17" spans="1:3" x14ac:dyDescent="0.25">
      <c r="A17" s="76" t="s">
        <v>40</v>
      </c>
      <c r="B17" s="182">
        <f>([2]E_NW!AN20/([2]E_NW!$G$20-[2]E_NW!$G$16))*([2]E_NW!$G$21)</f>
        <v>1.9722222222222221</v>
      </c>
      <c r="C17" s="184">
        <v>1</v>
      </c>
    </row>
    <row r="18" spans="1:3" x14ac:dyDescent="0.25">
      <c r="A18" s="76" t="s">
        <v>41</v>
      </c>
      <c r="B18" s="182">
        <f>([2]E_NW!AP20/([2]E_NW!$G$20-[2]E_NW!$G$16))*([2]E_NW!$G$21)</f>
        <v>1.9722222222222221</v>
      </c>
      <c r="C18" s="184">
        <v>0.99999000136174898</v>
      </c>
    </row>
    <row r="19" spans="1:3" x14ac:dyDescent="0.25">
      <c r="A19" s="76" t="s">
        <v>240</v>
      </c>
      <c r="B19" s="182">
        <v>0.99992246399981111</v>
      </c>
      <c r="C19" s="184">
        <v>0.99975473154491334</v>
      </c>
    </row>
    <row r="20" spans="1:3" x14ac:dyDescent="0.25">
      <c r="A20" s="76" t="s">
        <v>43</v>
      </c>
      <c r="B20" s="182">
        <v>1</v>
      </c>
      <c r="C20" s="184">
        <v>0.99999584660002983</v>
      </c>
    </row>
    <row r="21" spans="1:3" x14ac:dyDescent="0.25">
      <c r="A21" s="76" t="s">
        <v>44</v>
      </c>
      <c r="B21" s="182">
        <f>([2]E_NW!AV20/([2]E_NW!$G$20-[2]E_NW!$G$16))*([2]E_NW!$G$21)</f>
        <v>1.9722222222222221</v>
      </c>
      <c r="C21" s="184">
        <v>0.99999129982037971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4253fc-dfb6-462f-b5ca-cbe81939f5ee}" enabled="0" method="" siteId="{534253fc-dfb6-462f-b5ca-cbe81939f5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 Calculation</vt:lpstr>
      <vt:lpstr>Service Assurance Faults</vt:lpstr>
      <vt:lpstr>OTN Operations</vt:lpstr>
      <vt:lpstr>Tower Maintenance</vt:lpstr>
      <vt:lpstr>IP NW Operations</vt:lpstr>
      <vt:lpstr>Wireline Access NW Op</vt:lpstr>
      <vt:lpstr>Service Fulfillment</vt:lpstr>
      <vt:lpstr>Routine Maintenance</vt:lpstr>
      <vt:lpstr>KPI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Lakindu</dc:creator>
  <cp:lastModifiedBy>Yasas Lakindu</cp:lastModifiedBy>
  <dcterms:created xsi:type="dcterms:W3CDTF">2025-10-29T13:20:50Z</dcterms:created>
  <dcterms:modified xsi:type="dcterms:W3CDTF">2026-06-26T10:50:16Z</dcterms:modified>
</cp:coreProperties>
</file>